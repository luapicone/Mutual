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Estudio Arnaldo Bocco\Diplomatura CAM\02 Plan de Negocios\"/>
    </mc:Choice>
  </mc:AlternateContent>
  <xr:revisionPtr revIDLastSave="0" documentId="13_ncr:1_{9C9D9D73-F743-4225-8018-FF26F07345D4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Variables " sheetId="2" r:id="rId1"/>
    <sheet name="Proyección Asociados y Ahorro" sheetId="3" r:id="rId2"/>
    <sheet name="Proyección Aplicación Fondeo" sheetId="4" r:id="rId3"/>
    <sheet name="Cuadro de Resultado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7" i="2" s="1"/>
  <c r="C8" i="2" s="1"/>
  <c r="C9" i="2" s="1"/>
  <c r="Y8" i="4" l="1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B39" i="1" l="1"/>
  <c r="AB33" i="1"/>
  <c r="C10" i="3" l="1"/>
  <c r="B4" i="3"/>
  <c r="C4" i="3" s="1"/>
  <c r="C11" i="3" l="1"/>
  <c r="D5" i="1"/>
  <c r="D10" i="3"/>
  <c r="C5" i="3"/>
  <c r="D4" i="3"/>
  <c r="B15" i="2"/>
  <c r="B25" i="2" l="1"/>
  <c r="B29" i="2" s="1"/>
  <c r="B26" i="2"/>
  <c r="B30" i="2" s="1"/>
  <c r="B27" i="2"/>
  <c r="B31" i="2" s="1"/>
  <c r="E10" i="3"/>
  <c r="D11" i="3"/>
  <c r="E5" i="1" s="1"/>
  <c r="E4" i="3"/>
  <c r="D5" i="3"/>
  <c r="B32" i="2" l="1"/>
  <c r="B7" i="3" s="1"/>
  <c r="E11" i="3"/>
  <c r="F5" i="1" s="1"/>
  <c r="F10" i="3"/>
  <c r="F4" i="3"/>
  <c r="E5" i="3"/>
  <c r="B43" i="1"/>
  <c r="C42" i="1"/>
  <c r="D42" i="1" s="1"/>
  <c r="C41" i="1"/>
  <c r="D41" i="1" s="1"/>
  <c r="C40" i="1"/>
  <c r="D40" i="1" s="1"/>
  <c r="C39" i="1"/>
  <c r="C38" i="1"/>
  <c r="D38" i="1" s="1"/>
  <c r="C37" i="1"/>
  <c r="D37" i="1" s="1"/>
  <c r="C36" i="1"/>
  <c r="D36" i="1" s="1"/>
  <c r="C35" i="1"/>
  <c r="D35" i="1" s="1"/>
  <c r="C33" i="1"/>
  <c r="C32" i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C14" i="1"/>
  <c r="D14" i="1" s="1"/>
  <c r="C13" i="1"/>
  <c r="D13" i="1" s="1"/>
  <c r="B10" i="1"/>
  <c r="C6" i="1"/>
  <c r="C8" i="1"/>
  <c r="D8" i="1" s="1"/>
  <c r="C9" i="1"/>
  <c r="D9" i="1" s="1"/>
  <c r="C5" i="1"/>
  <c r="E18" i="1" l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E26" i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C10" i="1"/>
  <c r="D6" i="1"/>
  <c r="C43" i="1"/>
  <c r="C45" i="1" s="1"/>
  <c r="C46" i="1" s="1"/>
  <c r="D15" i="1"/>
  <c r="E31" i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E36" i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E40" i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E14" i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E30" i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E23" i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B45" i="1"/>
  <c r="E20" i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E24" i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E32" i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E41" i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E22" i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E19" i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E27" i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E9" i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E29" i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E38" i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E42" i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C7" i="3"/>
  <c r="B3" i="4" s="1"/>
  <c r="B4" i="4" s="1"/>
  <c r="B7" i="4" s="1"/>
  <c r="C8" i="3"/>
  <c r="D34" i="1" s="1"/>
  <c r="G10" i="3"/>
  <c r="F11" i="3"/>
  <c r="G5" i="1" s="1"/>
  <c r="G4" i="3"/>
  <c r="F5" i="3"/>
  <c r="AB8" i="1" l="1"/>
  <c r="AB35" i="1"/>
  <c r="AB28" i="1"/>
  <c r="AB23" i="1"/>
  <c r="AB26" i="1"/>
  <c r="AB20" i="1"/>
  <c r="AB36" i="1"/>
  <c r="AB37" i="1"/>
  <c r="AB14" i="1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38" i="1"/>
  <c r="AB25" i="1"/>
  <c r="AB17" i="1"/>
  <c r="AB9" i="1"/>
  <c r="AB27" i="1"/>
  <c r="AB30" i="1"/>
  <c r="AB40" i="1"/>
  <c r="AB31" i="1"/>
  <c r="B9" i="4"/>
  <c r="C9" i="4" s="1"/>
  <c r="D9" i="4" s="1"/>
  <c r="E9" i="4" s="1"/>
  <c r="F9" i="4" s="1"/>
  <c r="G9" i="4" s="1"/>
  <c r="E6" i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18" i="1"/>
  <c r="D43" i="1"/>
  <c r="AB42" i="1"/>
  <c r="AB29" i="1"/>
  <c r="AB21" i="1"/>
  <c r="AB13" i="1"/>
  <c r="AB16" i="1"/>
  <c r="AB19" i="1"/>
  <c r="AB22" i="1"/>
  <c r="AB41" i="1"/>
  <c r="AB32" i="1"/>
  <c r="AB24" i="1"/>
  <c r="C7" i="4"/>
  <c r="D8" i="3"/>
  <c r="E34" i="1" s="1"/>
  <c r="D7" i="3"/>
  <c r="H10" i="3"/>
  <c r="G11" i="3"/>
  <c r="H5" i="1" s="1"/>
  <c r="H4" i="3"/>
  <c r="G5" i="3"/>
  <c r="AB6" i="1" l="1"/>
  <c r="C10" i="4"/>
  <c r="D7" i="4"/>
  <c r="D10" i="4" s="1"/>
  <c r="D13" i="4" s="1"/>
  <c r="F7" i="1" s="1"/>
  <c r="F10" i="1" s="1"/>
  <c r="E43" i="1"/>
  <c r="AB15" i="1"/>
  <c r="H9" i="4"/>
  <c r="I9" i="4" s="1"/>
  <c r="J9" i="4" s="1"/>
  <c r="K9" i="4" s="1"/>
  <c r="L9" i="4" s="1"/>
  <c r="M9" i="4" s="1"/>
  <c r="N9" i="4" s="1"/>
  <c r="O9" i="4" s="1"/>
  <c r="P9" i="4" s="1"/>
  <c r="Q9" i="4" s="1"/>
  <c r="R9" i="4" s="1"/>
  <c r="B10" i="4"/>
  <c r="B13" i="4" s="1"/>
  <c r="D7" i="1" s="1"/>
  <c r="D10" i="1" s="1"/>
  <c r="C13" i="4"/>
  <c r="E7" i="1" s="1"/>
  <c r="E10" i="1" s="1"/>
  <c r="E7" i="3"/>
  <c r="E8" i="3"/>
  <c r="F34" i="1" s="1"/>
  <c r="F43" i="1" s="1"/>
  <c r="I10" i="3"/>
  <c r="H11" i="3"/>
  <c r="I5" i="1" s="1"/>
  <c r="I4" i="3"/>
  <c r="H5" i="3"/>
  <c r="E7" i="4" l="1"/>
  <c r="E10" i="4" s="1"/>
  <c r="E13" i="4" s="1"/>
  <c r="G7" i="1" s="1"/>
  <c r="E45" i="1"/>
  <c r="D45" i="1"/>
  <c r="D46" i="1" s="1"/>
  <c r="S9" i="4"/>
  <c r="F45" i="1"/>
  <c r="F8" i="3"/>
  <c r="G34" i="1" s="1"/>
  <c r="G43" i="1" s="1"/>
  <c r="F7" i="3"/>
  <c r="J10" i="3"/>
  <c r="I11" i="3"/>
  <c r="J5" i="1" s="1"/>
  <c r="J4" i="3"/>
  <c r="I5" i="3"/>
  <c r="F7" i="4" l="1"/>
  <c r="F10" i="4" s="1"/>
  <c r="F13" i="4" s="1"/>
  <c r="H7" i="1" s="1"/>
  <c r="H10" i="1" s="1"/>
  <c r="E46" i="1"/>
  <c r="F46" i="1" s="1"/>
  <c r="T9" i="4"/>
  <c r="G10" i="1"/>
  <c r="G7" i="3"/>
  <c r="G8" i="3"/>
  <c r="H34" i="1" s="1"/>
  <c r="H43" i="1" s="1"/>
  <c r="K10" i="3"/>
  <c r="J11" i="3"/>
  <c r="K5" i="1" s="1"/>
  <c r="K4" i="3"/>
  <c r="J5" i="3"/>
  <c r="G7" i="4" l="1"/>
  <c r="G10" i="4" s="1"/>
  <c r="G13" i="4" s="1"/>
  <c r="I7" i="1" s="1"/>
  <c r="I10" i="1" s="1"/>
  <c r="G45" i="1"/>
  <c r="G46" i="1" s="1"/>
  <c r="U9" i="4"/>
  <c r="H45" i="1"/>
  <c r="H7" i="3"/>
  <c r="H8" i="3"/>
  <c r="I34" i="1" s="1"/>
  <c r="I43" i="1" s="1"/>
  <c r="L10" i="3"/>
  <c r="K11" i="3"/>
  <c r="L5" i="1" s="1"/>
  <c r="L4" i="3"/>
  <c r="K5" i="3"/>
  <c r="H7" i="4" l="1"/>
  <c r="H10" i="4" s="1"/>
  <c r="H13" i="4" s="1"/>
  <c r="J7" i="1" s="1"/>
  <c r="J10" i="1" s="1"/>
  <c r="H46" i="1"/>
  <c r="V9" i="4"/>
  <c r="I45" i="1"/>
  <c r="I7" i="3"/>
  <c r="I8" i="3"/>
  <c r="J34" i="1" s="1"/>
  <c r="J43" i="1" s="1"/>
  <c r="M10" i="3"/>
  <c r="L11" i="3"/>
  <c r="M5" i="1" s="1"/>
  <c r="M4" i="3"/>
  <c r="L5" i="3"/>
  <c r="I7" i="4" l="1"/>
  <c r="J7" i="4" s="1"/>
  <c r="I46" i="1"/>
  <c r="I10" i="4"/>
  <c r="I13" i="4" s="1"/>
  <c r="K7" i="1" s="1"/>
  <c r="W9" i="4"/>
  <c r="J45" i="1"/>
  <c r="J8" i="3"/>
  <c r="K34" i="1" s="1"/>
  <c r="K43" i="1" s="1"/>
  <c r="J7" i="3"/>
  <c r="N10" i="3"/>
  <c r="M11" i="3"/>
  <c r="N5" i="1" s="1"/>
  <c r="N4" i="3"/>
  <c r="M5" i="3"/>
  <c r="J46" i="1" l="1"/>
  <c r="J10" i="4"/>
  <c r="J13" i="4" s="1"/>
  <c r="L7" i="1" s="1"/>
  <c r="L10" i="1" s="1"/>
  <c r="X9" i="4"/>
  <c r="K7" i="4"/>
  <c r="K10" i="1"/>
  <c r="K45" i="1" s="1"/>
  <c r="K8" i="3"/>
  <c r="L34" i="1" s="1"/>
  <c r="L43" i="1" s="1"/>
  <c r="K7" i="3"/>
  <c r="N11" i="3"/>
  <c r="O5" i="1" s="1"/>
  <c r="O10" i="3"/>
  <c r="O4" i="3"/>
  <c r="N5" i="3"/>
  <c r="K46" i="1" l="1"/>
  <c r="L45" i="1"/>
  <c r="L46" i="1" s="1"/>
  <c r="K10" i="4"/>
  <c r="K13" i="4" s="1"/>
  <c r="M7" i="1" s="1"/>
  <c r="M10" i="1" s="1"/>
  <c r="Y9" i="4"/>
  <c r="L7" i="4"/>
  <c r="L8" i="3"/>
  <c r="M34" i="1" s="1"/>
  <c r="M43" i="1" s="1"/>
  <c r="L7" i="3"/>
  <c r="O11" i="3"/>
  <c r="P5" i="1" s="1"/>
  <c r="P10" i="3"/>
  <c r="P4" i="3"/>
  <c r="O5" i="3"/>
  <c r="L10" i="4" l="1"/>
  <c r="L13" i="4" s="1"/>
  <c r="N7" i="1" s="1"/>
  <c r="N10" i="1" s="1"/>
  <c r="M45" i="1"/>
  <c r="M46" i="1" s="1"/>
  <c r="M7" i="4"/>
  <c r="M8" i="3"/>
  <c r="N34" i="1" s="1"/>
  <c r="N43" i="1" s="1"/>
  <c r="M7" i="3"/>
  <c r="Q10" i="3"/>
  <c r="P11" i="3"/>
  <c r="Q5" i="1" s="1"/>
  <c r="Q4" i="3"/>
  <c r="P5" i="3"/>
  <c r="M10" i="4" l="1"/>
  <c r="M13" i="4" s="1"/>
  <c r="O7" i="1" s="1"/>
  <c r="O10" i="1" s="1"/>
  <c r="N45" i="1"/>
  <c r="N46" i="1" s="1"/>
  <c r="N7" i="4"/>
  <c r="N8" i="3"/>
  <c r="O34" i="1" s="1"/>
  <c r="O43" i="1" s="1"/>
  <c r="N7" i="3"/>
  <c r="R10" i="3"/>
  <c r="Q11" i="3"/>
  <c r="R5" i="1" s="1"/>
  <c r="R4" i="3"/>
  <c r="Q5" i="3"/>
  <c r="N10" i="4" l="1"/>
  <c r="N13" i="4" s="1"/>
  <c r="P7" i="1" s="1"/>
  <c r="P10" i="1" s="1"/>
  <c r="O45" i="1"/>
  <c r="O46" i="1" s="1"/>
  <c r="O7" i="4"/>
  <c r="O8" i="3"/>
  <c r="P34" i="1" s="1"/>
  <c r="P43" i="1" s="1"/>
  <c r="O7" i="3"/>
  <c r="S10" i="3"/>
  <c r="R11" i="3"/>
  <c r="S5" i="1" s="1"/>
  <c r="S4" i="3"/>
  <c r="R5" i="3"/>
  <c r="O10" i="4" l="1"/>
  <c r="O13" i="4" s="1"/>
  <c r="Q7" i="1" s="1"/>
  <c r="Q10" i="1" s="1"/>
  <c r="P45" i="1"/>
  <c r="P46" i="1" s="1"/>
  <c r="P7" i="4"/>
  <c r="P7" i="3"/>
  <c r="P8" i="3"/>
  <c r="Q34" i="1" s="1"/>
  <c r="Q43" i="1" s="1"/>
  <c r="S11" i="3"/>
  <c r="T5" i="1" s="1"/>
  <c r="T10" i="3"/>
  <c r="T4" i="3"/>
  <c r="S5" i="3"/>
  <c r="P10" i="4" l="1"/>
  <c r="P13" i="4" s="1"/>
  <c r="R7" i="1" s="1"/>
  <c r="R10" i="1" s="1"/>
  <c r="Q45" i="1"/>
  <c r="Q46" i="1" s="1"/>
  <c r="Q7" i="4"/>
  <c r="Q7" i="3"/>
  <c r="Q8" i="3"/>
  <c r="R34" i="1" s="1"/>
  <c r="R43" i="1" s="1"/>
  <c r="U10" i="3"/>
  <c r="T11" i="3"/>
  <c r="U5" i="1" s="1"/>
  <c r="U4" i="3"/>
  <c r="T5" i="3"/>
  <c r="Q10" i="4" l="1"/>
  <c r="Q13" i="4" s="1"/>
  <c r="S7" i="1" s="1"/>
  <c r="S10" i="1" s="1"/>
  <c r="R45" i="1"/>
  <c r="R46" i="1" s="1"/>
  <c r="R7" i="4"/>
  <c r="R7" i="3"/>
  <c r="R8" i="3"/>
  <c r="S34" i="1" s="1"/>
  <c r="S43" i="1" s="1"/>
  <c r="V10" i="3"/>
  <c r="U11" i="3"/>
  <c r="V5" i="1" s="1"/>
  <c r="V4" i="3"/>
  <c r="U5" i="3"/>
  <c r="R10" i="4" l="1"/>
  <c r="R13" i="4" s="1"/>
  <c r="T7" i="1" s="1"/>
  <c r="T10" i="1" s="1"/>
  <c r="S45" i="1"/>
  <c r="S46" i="1" s="1"/>
  <c r="S7" i="4"/>
  <c r="S7" i="3"/>
  <c r="S8" i="3"/>
  <c r="T34" i="1" s="1"/>
  <c r="T43" i="1" s="1"/>
  <c r="W10" i="3"/>
  <c r="V11" i="3"/>
  <c r="W5" i="1" s="1"/>
  <c r="W4" i="3"/>
  <c r="V5" i="3"/>
  <c r="S10" i="4" l="1"/>
  <c r="S13" i="4" s="1"/>
  <c r="U7" i="1" s="1"/>
  <c r="U10" i="1" s="1"/>
  <c r="T45" i="1"/>
  <c r="T46" i="1" s="1"/>
  <c r="T7" i="4"/>
  <c r="T7" i="3"/>
  <c r="T8" i="3"/>
  <c r="U34" i="1" s="1"/>
  <c r="U43" i="1" s="1"/>
  <c r="W11" i="3"/>
  <c r="X5" i="1" s="1"/>
  <c r="X10" i="3"/>
  <c r="X4" i="3"/>
  <c r="W5" i="3"/>
  <c r="T10" i="4" l="1"/>
  <c r="T13" i="4" s="1"/>
  <c r="V7" i="1" s="1"/>
  <c r="V10" i="1" s="1"/>
  <c r="U45" i="1"/>
  <c r="U46" i="1" s="1"/>
  <c r="U7" i="4"/>
  <c r="U8" i="3"/>
  <c r="V34" i="1" s="1"/>
  <c r="V43" i="1" s="1"/>
  <c r="U7" i="3"/>
  <c r="X11" i="3"/>
  <c r="Y5" i="1" s="1"/>
  <c r="Y10" i="3"/>
  <c r="Y4" i="3"/>
  <c r="X5" i="3"/>
  <c r="U10" i="4" l="1"/>
  <c r="U13" i="4" s="1"/>
  <c r="W7" i="1" s="1"/>
  <c r="W10" i="1" s="1"/>
  <c r="V45" i="1"/>
  <c r="V46" i="1" s="1"/>
  <c r="V7" i="4"/>
  <c r="V8" i="3"/>
  <c r="W34" i="1" s="1"/>
  <c r="W43" i="1" s="1"/>
  <c r="V7" i="3"/>
  <c r="Z10" i="3"/>
  <c r="Y11" i="3"/>
  <c r="Z5" i="1" s="1"/>
  <c r="Z4" i="3"/>
  <c r="Z5" i="3" s="1"/>
  <c r="Y5" i="3"/>
  <c r="V10" i="4" l="1"/>
  <c r="V13" i="4" s="1"/>
  <c r="X7" i="1" s="1"/>
  <c r="X10" i="1" s="1"/>
  <c r="W45" i="1"/>
  <c r="W46" i="1" s="1"/>
  <c r="W7" i="4"/>
  <c r="W8" i="3"/>
  <c r="X34" i="1" s="1"/>
  <c r="X43" i="1" s="1"/>
  <c r="W7" i="3"/>
  <c r="Z11" i="3"/>
  <c r="AA5" i="1" s="1"/>
  <c r="W10" i="4" l="1"/>
  <c r="W13" i="4" s="1"/>
  <c r="Y7" i="1" s="1"/>
  <c r="Y10" i="1" s="1"/>
  <c r="X45" i="1"/>
  <c r="X46" i="1" s="1"/>
  <c r="X7" i="4"/>
  <c r="X8" i="3"/>
  <c r="Y34" i="1" s="1"/>
  <c r="X7" i="3"/>
  <c r="AB5" i="1"/>
  <c r="X10" i="4" l="1"/>
  <c r="X13" i="4" s="1"/>
  <c r="Z7" i="1" s="1"/>
  <c r="Z10" i="1" s="1"/>
  <c r="Y7" i="4"/>
  <c r="Y10" i="4" s="1"/>
  <c r="Y43" i="1"/>
  <c r="Y45" i="1" s="1"/>
  <c r="Y46" i="1" s="1"/>
  <c r="Y8" i="3"/>
  <c r="Z34" i="1" s="1"/>
  <c r="Z43" i="1" s="1"/>
  <c r="Y7" i="3"/>
  <c r="Z45" i="1" l="1"/>
  <c r="Z46" i="1" s="1"/>
  <c r="Y13" i="4"/>
  <c r="AA7" i="1" s="1"/>
  <c r="Z7" i="3"/>
  <c r="Z8" i="3"/>
  <c r="AA34" i="1" s="1"/>
  <c r="AB7" i="1" l="1"/>
  <c r="AA10" i="1"/>
  <c r="AA43" i="1"/>
  <c r="AB34" i="1"/>
  <c r="AB10" i="1" l="1"/>
  <c r="AB43" i="1"/>
  <c r="AA45" i="1"/>
  <c r="AA46" i="1" s="1"/>
</calcChain>
</file>

<file path=xl/sharedStrings.xml><?xml version="1.0" encoding="utf-8"?>
<sst xmlns="http://schemas.openxmlformats.org/spreadsheetml/2006/main" count="190" uniqueCount="128">
  <si>
    <t>CUADRO DE RESULTADOS PROYECTADOS</t>
  </si>
  <si>
    <t>CONCEPTO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</si>
  <si>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</si>
  <si>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</si>
  <si>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</si>
  <si>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</si>
  <si>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</si>
  <si>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</si>
  <si>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</si>
  <si>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</si>
  <si>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</si>
  <si>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</si>
  <si>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</si>
  <si>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</si>
  <si>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</si>
  <si>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</si>
  <si>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</si>
  <si>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</si>
  <si>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</si>
  <si>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</si>
  <si>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</si>
  <si>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</si>
  <si>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</si>
  <si>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</si>
  <si>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</si>
  <si>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</si>
  <si>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Totales</t>
  </si>
  <si>
    <t>Resultados Positivos</t>
  </si>
  <si>
    <t>Cuotas Sociales</t>
  </si>
  <si>
    <t>Tasa de Servicio Ayuda Económica</t>
  </si>
  <si>
    <t>Servicios de Turismo</t>
  </si>
  <si>
    <t>Servicio de Orden de Compra</t>
  </si>
  <si>
    <t>Pos.Inicial</t>
  </si>
  <si>
    <t>Prom. Mes</t>
  </si>
  <si>
    <t>Total de Resultados Positivos</t>
  </si>
  <si>
    <t>Resultados Negativos</t>
  </si>
  <si>
    <t>Aportes Inaes (Art. 9)</t>
  </si>
  <si>
    <t>Sueldos Y Cargas Sociales</t>
  </si>
  <si>
    <t>Otros Beneficios al personal</t>
  </si>
  <si>
    <t>Otros Gastos de personal</t>
  </si>
  <si>
    <t>Seguro</t>
  </si>
  <si>
    <t>Honorarios</t>
  </si>
  <si>
    <t>Gastos de Representación</t>
  </si>
  <si>
    <t>Gastos Generales de Administración</t>
  </si>
  <si>
    <t>Papelería e Imprenta</t>
  </si>
  <si>
    <t>Gastos Cafetería e Higiene Oficina</t>
  </si>
  <si>
    <t>Servicios Gas, Energía Eléctrica y Teléfono</t>
  </si>
  <si>
    <t>Alquileres</t>
  </si>
  <si>
    <t>Gastos Informática</t>
  </si>
  <si>
    <t>Suscripciones y Publicaciones</t>
  </si>
  <si>
    <t>Alquiler y Mantenimiento Rodados</t>
  </si>
  <si>
    <t>Publicidad y Propaganda</t>
  </si>
  <si>
    <t>Amortizaciones de Bienes de Uso</t>
  </si>
  <si>
    <t>Donaciones</t>
  </si>
  <si>
    <t>Comisiones e intereses Bancarios</t>
  </si>
  <si>
    <t>Gastos Bancarios</t>
  </si>
  <si>
    <t>Intereses pagados</t>
  </si>
  <si>
    <t>Impuesto a los Débitos y Créditos Bancarios.</t>
  </si>
  <si>
    <t>Otros Impuestos</t>
  </si>
  <si>
    <t xml:space="preserve">Viáticos y Movilidad </t>
  </si>
  <si>
    <t>Franqueo</t>
  </si>
  <si>
    <t>Gastos de Verificacion de datos Asoc A/E</t>
  </si>
  <si>
    <t>Subsidios Pagados a Asociados</t>
  </si>
  <si>
    <t>Servicio de Call Center</t>
  </si>
  <si>
    <t>Servicio de Cobranzas</t>
  </si>
  <si>
    <t>Total de Resultados Negativos</t>
  </si>
  <si>
    <t>Resultado del Período</t>
  </si>
  <si>
    <t>Resultado Acumulado</t>
  </si>
  <si>
    <t>VARIABLES A UTILIZAR EN EL PLAN DE NEGOCIOS</t>
  </si>
  <si>
    <t>VARIABLES MACROECONOMICAS</t>
  </si>
  <si>
    <t>Evolución del PBI</t>
  </si>
  <si>
    <t>Año 1</t>
  </si>
  <si>
    <t>Año 2</t>
  </si>
  <si>
    <t>Tasa de Inflación esperada</t>
  </si>
  <si>
    <t>Variación de la tasa de inflación en %</t>
  </si>
  <si>
    <t>Tasa de Política Monetaria</t>
  </si>
  <si>
    <t>Tasa de Captación de Ahorro</t>
  </si>
  <si>
    <t>Tasa de Ayuda Económica</t>
  </si>
  <si>
    <t>CAPTACION DE DEPOSITOS</t>
  </si>
  <si>
    <t>Cantidad de inicial de Asociados de Ahorro</t>
  </si>
  <si>
    <t>Porcentaje de Asociados para ahorro</t>
  </si>
  <si>
    <t>Total de Asociados Activos</t>
  </si>
  <si>
    <t>Composición de los depósitos por rango en %</t>
  </si>
  <si>
    <t>Parámetros</t>
  </si>
  <si>
    <t>CAPTACION DE DEPOSITOS EN PESOS</t>
  </si>
  <si>
    <t>Monto</t>
  </si>
  <si>
    <t>Composición de los depósitos por rango de Importe</t>
  </si>
  <si>
    <t xml:space="preserve">    Cantidad de Asociados rango 1</t>
  </si>
  <si>
    <t xml:space="preserve">    Cantidad de Asociados rango 2</t>
  </si>
  <si>
    <t xml:space="preserve">    Monto de Depósitos promedio rango 1</t>
  </si>
  <si>
    <t xml:space="preserve">    Monto de Depósitos promedio rango 2</t>
  </si>
  <si>
    <t xml:space="preserve">    Monto de Depósitos promedio rango 3</t>
  </si>
  <si>
    <t>Cantidad de Asociados por rango</t>
  </si>
  <si>
    <t>Intereses pagados por los Depósitos de Ahorro</t>
  </si>
  <si>
    <t xml:space="preserve">    Cantidad de Asociados rango 3</t>
  </si>
  <si>
    <t>CRECIMIENTO ANUAL  DE ASOCIADOS Y CARTERAS</t>
  </si>
  <si>
    <t>Crecimiento anual de Asociados</t>
  </si>
  <si>
    <t>Crecimiento anual de los Ahorros</t>
  </si>
  <si>
    <t>PROYECCION DEL CRECIMIENTO DE LOS ASOCIADOS Y LAS CUENTAS DE AHORRO</t>
  </si>
  <si>
    <t>Concepto</t>
  </si>
  <si>
    <t>Inicio</t>
  </si>
  <si>
    <t>Cantidad de Asociados</t>
  </si>
  <si>
    <t>Crecimiento Mensual</t>
  </si>
  <si>
    <t>Ahorro de Asociados rango 1</t>
  </si>
  <si>
    <t>Ahorro de Asociados rango 2</t>
  </si>
  <si>
    <t>Ahorro de Asociados rango 3</t>
  </si>
  <si>
    <t>Total Captación</t>
  </si>
  <si>
    <t>Intereses por Depósitos</t>
  </si>
  <si>
    <t>Depósitos de Ahorro</t>
  </si>
  <si>
    <t>Valor de la Cuota</t>
  </si>
  <si>
    <t>Ingresos por Cuotas</t>
  </si>
  <si>
    <t>Porcentaje de utilización del ahorro captado</t>
  </si>
  <si>
    <t>PROYECCION DE LA APLICACIÓN DE RECURSOS A LOS SERVICIOS</t>
  </si>
  <si>
    <t>Capacidad Prestable</t>
  </si>
  <si>
    <t>Tasa de Servicio Ayuda Económica (SALDO ANT)</t>
  </si>
  <si>
    <t>Tasa de Servicio Ayuda Ec. (CARTERA NUEVA)</t>
  </si>
  <si>
    <t>Depósitos de Ahorro al Mes 1</t>
  </si>
  <si>
    <t>Tasas de Crecimiento de Cartera y Servicios</t>
  </si>
  <si>
    <t>Ayuda Económica Cartera Nueva</t>
  </si>
  <si>
    <t xml:space="preserve">Cobro de Cuotas Cartera </t>
  </si>
  <si>
    <t>Evolución de la capacidad prestable</t>
  </si>
  <si>
    <t>Capacidad Prestable Total</t>
  </si>
  <si>
    <t>Cobro de Intereses Cartera</t>
  </si>
  <si>
    <t>Variaciones de los gastos significativos</t>
  </si>
  <si>
    <t>Evolución del crecimiento de los subsidios</t>
  </si>
  <si>
    <t>Aumento del costo de los servicios informáticos</t>
  </si>
  <si>
    <t>Sueldos y Cargas Sociales</t>
  </si>
  <si>
    <t xml:space="preserve">Baja de los intereses bancarios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</si>
</sst>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3" fontId="0" fillId="0" borderId="0" xfId="0" applyNumberFormat="1"/>
    <xf numFmtId="0" fontId="6" fillId="0" borderId="2" xfId="0" applyFont="1" applyBorder="1"/>
    <xf numFmtId="3" fontId="6" fillId="0" borderId="1" xfId="0" applyNumberFormat="1" applyFont="1" applyBorder="1"/>
    <xf numFmtId="3" fontId="5" fillId="0" borderId="1" xfId="0" applyNumberFormat="1" applyFont="1" applyBorder="1"/>
    <xf numFmtId="0" fontId="7" fillId="0" borderId="1" xfId="0" applyFont="1" applyBorder="1" applyAlignment="1">
      <alignment horizontal="left"/>
    </xf>
    <xf numFmtId="0" fontId="6" fillId="0" borderId="4" xfId="0" applyFont="1" applyBorder="1"/>
    <xf numFmtId="3" fontId="6" fillId="0" borderId="5" xfId="0" applyNumberFormat="1" applyFont="1" applyBorder="1"/>
    <xf numFmtId="3" fontId="5" fillId="0" borderId="5" xfId="0" applyNumberFormat="1" applyFont="1" applyBorder="1"/>
    <xf numFmtId="0" fontId="4" fillId="0" borderId="3" xfId="0" applyFont="1" applyBorder="1" applyAlignment="1">
      <alignment horizontal="center" vertical="center"/>
    </xf>
    <xf numFmtId="0" fontId="5" fillId="0" borderId="3" xfId="0" applyFont="1" applyBorder="1"/>
    <xf numFmtId="3" fontId="5" fillId="0" borderId="7" xfId="0" applyNumberFormat="1" applyFont="1" applyBorder="1"/>
    <xf numFmtId="3" fontId="5" fillId="0" borderId="8" xfId="0" applyNumberFormat="1" applyFont="1" applyBorder="1"/>
    <xf numFmtId="0" fontId="6" fillId="0" borderId="9" xfId="0" applyFont="1" applyBorder="1"/>
    <xf numFmtId="3" fontId="6" fillId="0" borderId="8" xfId="0" applyNumberFormat="1" applyFont="1" applyBorder="1"/>
    <xf numFmtId="0" fontId="4" fillId="0" borderId="10" xfId="0" applyFont="1" applyBorder="1" applyAlignment="1">
      <alignment horizontal="right"/>
    </xf>
    <xf numFmtId="3" fontId="2" fillId="0" borderId="6" xfId="0" applyNumberFormat="1" applyFont="1" applyBorder="1"/>
    <xf numFmtId="0" fontId="7" fillId="0" borderId="8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4" fillId="0" borderId="12" xfId="0" applyFont="1" applyBorder="1" applyAlignment="1">
      <alignment horizontal="center" vertical="center"/>
    </xf>
    <xf numFmtId="3" fontId="5" fillId="0" borderId="12" xfId="0" applyNumberFormat="1" applyFont="1" applyBorder="1"/>
    <xf numFmtId="3" fontId="2" fillId="0" borderId="13" xfId="0" applyNumberFormat="1" applyFont="1" applyBorder="1"/>
    <xf numFmtId="0" fontId="4" fillId="0" borderId="6" xfId="0" applyFont="1" applyBorder="1" applyAlignment="1">
      <alignment horizontal="right"/>
    </xf>
    <xf numFmtId="3" fontId="5" fillId="0" borderId="6" xfId="0" applyNumberFormat="1" applyFont="1" applyBorder="1"/>
    <xf numFmtId="0" fontId="8" fillId="2" borderId="1" xfId="0" applyFont="1" applyFill="1" applyBorder="1" applyAlignment="1">
      <alignment horizontal="center"/>
    </xf>
    <xf numFmtId="0" fontId="0" fillId="0" borderId="1" xfId="0" applyBorder="1"/>
    <xf numFmtId="0" fontId="9" fillId="2" borderId="1" xfId="0" applyFont="1" applyFill="1" applyBorder="1"/>
    <xf numFmtId="10" fontId="0" fillId="0" borderId="1" xfId="0" applyNumberFormat="1" applyBorder="1"/>
    <xf numFmtId="0" fontId="0" fillId="2" borderId="1" xfId="0" applyFill="1" applyBorder="1"/>
    <xf numFmtId="3" fontId="0" fillId="0" borderId="1" xfId="0" applyNumberFormat="1" applyBorder="1"/>
    <xf numFmtId="0" fontId="9" fillId="2" borderId="1" xfId="0" applyFont="1" applyFill="1" applyBorder="1" applyAlignment="1">
      <alignment horizontal="center"/>
    </xf>
    <xf numFmtId="0" fontId="9" fillId="0" borderId="1" xfId="0" applyFont="1" applyBorder="1"/>
    <xf numFmtId="3" fontId="9" fillId="2" borderId="1" xfId="0" applyNumberFormat="1" applyFont="1" applyFill="1" applyBorder="1"/>
    <xf numFmtId="3" fontId="5" fillId="2" borderId="1" xfId="0" applyNumberFormat="1" applyFont="1" applyFill="1" applyBorder="1"/>
    <xf numFmtId="3" fontId="6" fillId="2" borderId="1" xfId="0" applyNumberFormat="1" applyFont="1" applyFill="1" applyBorder="1"/>
    <xf numFmtId="3" fontId="2" fillId="0" borderId="11" xfId="0" applyNumberFormat="1" applyFont="1" applyBorder="1"/>
    <xf numFmtId="10" fontId="0" fillId="0" borderId="0" xfId="0" applyNumberFormat="1"/>
    <xf numFmtId="0" fontId="9" fillId="2" borderId="1" xfId="0" applyFont="1" applyFill="1" applyBorder="1" applyAlignment="1">
      <alignment horizontal="right"/>
    </xf>
    <xf numFmtId="0" fontId="6" fillId="0" borderId="1" xfId="0" applyFont="1" applyBorder="1"/>
    <xf numFmtId="0" fontId="0" fillId="3" borderId="1" xfId="0" applyFill="1" applyBorder="1"/>
    <xf numFmtId="0" fontId="5" fillId="0" borderId="1" xfId="0" applyFont="1" applyBorder="1"/>
    <xf numFmtId="3" fontId="2" fillId="0" borderId="7" xfId="0" applyNumberFormat="1" applyFont="1" applyBorder="1"/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/>
    <xf numFmtId="0" fontId="0" fillId="0" borderId="1" xfId="0" applyBorder="1" applyAlignment="1">
      <alignment wrapText="1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640080</xdr:colOff>
      <xdr:row>2</xdr:row>
      <xdr:rowOff>175260</xdr:rowOff>
    </xdr:from>
    <xdr:to>
      <xdr:col>6</xdr:col>
      <xdr:colOff>624840</xdr:colOff>
      <xdr:row>8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387340" y="586740"/>
          <a:ext cx="2362200" cy="922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Definida la variable de</a:t>
          </a:r>
          <a:r>
            <a:rPr lang="en-US" sz="1100" baseline="0"/>
            <a:t> la evolución del PIB, la evolución de la tasa de inflación impacta proporcionalmente en el resto de las variables del cuadro.</a:t>
          </a:r>
          <a:endParaRPr lang="en-US" sz="1100"/>
        </a:p>
      </xdr:txBody>
    </xdr:sp>
    <xdr:clientData/>
  </xdr:twoCellAnchor>
  <xdr:twoCellAnchor>
    <xdr:from>
      <xdr:col>3</xdr:col>
      <xdr:colOff>7620</xdr:colOff>
      <xdr:row>11</xdr:row>
      <xdr:rowOff>167640</xdr:rowOff>
    </xdr:from>
    <xdr:to>
      <xdr:col>5</xdr:col>
      <xdr:colOff>784860</xdr:colOff>
      <xdr:row>14</xdr:row>
      <xdr:rowOff>175260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54880" y="2225040"/>
          <a:ext cx="2362200" cy="556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La cantidad de asociados surge por fórmula.</a:t>
          </a:r>
        </a:p>
      </xdr:txBody>
    </xdr:sp>
    <xdr:clientData/>
  </xdr:twoCellAnchor>
  <xdr:twoCellAnchor>
    <xdr:from>
      <xdr:col>3</xdr:col>
      <xdr:colOff>0</xdr:colOff>
      <xdr:row>22</xdr:row>
      <xdr:rowOff>144780</xdr:rowOff>
    </xdr:from>
    <xdr:to>
      <xdr:col>6</xdr:col>
      <xdr:colOff>487680</xdr:colOff>
      <xdr:row>26</xdr:row>
      <xdr:rowOff>22860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853940" y="4213860"/>
          <a:ext cx="286512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Las fórmulas proporcionan la cantidad de inicial</a:t>
          </a:r>
          <a:r>
            <a:rPr lang="en-US" sz="1100" baseline="0"/>
            <a:t> de asociados de ahorro en función de los porcentajes ingresados en la grilla anterior</a:t>
          </a:r>
          <a:r>
            <a:rPr lang="en-US" sz="1100"/>
            <a:t>.</a:t>
          </a:r>
        </a:p>
      </xdr:txBody>
    </xdr:sp>
    <xdr:clientData/>
  </xdr:twoCellAnchor>
  <xdr:twoCellAnchor>
    <xdr:from>
      <xdr:col>3</xdr:col>
      <xdr:colOff>7620</xdr:colOff>
      <xdr:row>27</xdr:row>
      <xdr:rowOff>152400</xdr:rowOff>
    </xdr:from>
    <xdr:to>
      <xdr:col>6</xdr:col>
      <xdr:colOff>495300</xdr:colOff>
      <xdr:row>32</xdr:row>
      <xdr:rowOff>121920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861560" y="5135880"/>
          <a:ext cx="2865120" cy="883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Las fórmulas calculan el monto de depósitos por rango en función</a:t>
          </a:r>
          <a:r>
            <a:rPr lang="en-US" sz="1100" baseline="0"/>
            <a:t> de la cantidad de asociados de cada uno de ellos y el monto del ahorro.</a:t>
          </a:r>
          <a:endParaRPr lang="en-US" sz="1100"/>
        </a:p>
      </xdr:txBody>
    </xdr:sp>
    <xdr:clientData/>
  </xdr:twoCellAnchor>
  <xdr:twoCellAnchor>
    <xdr:from>
      <xdr:col>3</xdr:col>
      <xdr:colOff>403860</xdr:colOff>
      <xdr:row>48</xdr:row>
      <xdr:rowOff>83820</xdr:rowOff>
    </xdr:from>
    <xdr:to>
      <xdr:col>6</xdr:col>
      <xdr:colOff>373380</xdr:colOff>
      <xdr:row>52</xdr:row>
      <xdr:rowOff>106680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57800" y="8938260"/>
          <a:ext cx="2346960" cy="754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Los valores parámetro aquí cargados impactarán en</a:t>
          </a:r>
          <a:r>
            <a:rPr lang="en-US" sz="1100" baseline="0"/>
            <a:t> más o menos en los valores de los dos años proyectados en el cuadro de resultados.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F43" sqref="F43"/>
    </sheetView>
  </sheetViews>
  <sheetFormatPr baseColWidth="10" defaultRowHeight="14.4" x14ac:dyDescent="0.3"/>
  <cols>
    <col min="1" max="1" width="46.109375" customWidth="1"/>
    <col min="2" max="2" width="13.109375" customWidth="1"/>
  </cols>
  <sheetData>
    <row r="1" spans="1:3" ht="18" x14ac:dyDescent="0.35">
      <c r="A1" s="1" t="s">
        <v>68</v>
      </c>
    </row>
    <row r="3" spans="1:3" x14ac:dyDescent="0.3">
      <c r="A3" s="29" t="s">
        <v>69</v>
      </c>
      <c r="B3" s="29" t="s">
        <v>71</v>
      </c>
      <c r="C3" s="29" t="s">
        <v>72</v>
      </c>
    </row>
    <row r="4" spans="1:3" x14ac:dyDescent="0.3">
      <c r="A4" s="30" t="s">
        <v>70</v>
      </c>
      <c r="B4" s="32"/>
      <c r="C4" s="32"/>
    </row>
    <row r="5" spans="1:3" x14ac:dyDescent="0.3">
      <c r="A5" s="30" t="s">
        <v>73</v>
      </c>
      <c r="B5" s="32"/>
      <c r="C5" s="32"/>
    </row>
    <row r="6" spans="1:3" x14ac:dyDescent="0.3">
      <c r="A6" s="30" t="s">
        <v>74</v>
      </c>
      <c r="B6" s="33"/>
      <c r="C6" s="32" t="e">
        <f>(1-(C5/B5))</f>
        <v>#DIV/0!</v>
      </c>
    </row>
    <row r="7" spans="1:3" x14ac:dyDescent="0.3">
      <c r="A7" s="30" t="s">
        <v>75</v>
      </c>
      <c r="B7" s="32"/>
      <c r="C7" s="32" t="e">
        <f>+B7-(B7*C6)</f>
        <v>#DIV/0!</v>
      </c>
    </row>
    <row r="8" spans="1:3" x14ac:dyDescent="0.3">
      <c r="A8" s="30" t="s">
        <v>76</v>
      </c>
      <c r="B8" s="32"/>
      <c r="C8" s="32" t="e">
        <f t="shared" ref="C8:C9" si="0">+B8-(B8*C7)</f>
        <v>#DIV/0!</v>
      </c>
    </row>
    <row r="9" spans="1:3" x14ac:dyDescent="0.3">
      <c r="A9" s="30" t="s">
        <v>77</v>
      </c>
      <c r="B9" s="32"/>
      <c r="C9" s="32" t="e">
        <f t="shared" si="0"/>
        <v>#DIV/0!</v>
      </c>
    </row>
    <row r="12" spans="1:3" x14ac:dyDescent="0.3">
      <c r="A12" s="35" t="s">
        <v>78</v>
      </c>
      <c r="B12" s="31" t="s">
        <v>83</v>
      </c>
    </row>
    <row r="13" spans="1:3" x14ac:dyDescent="0.3">
      <c r="A13" s="30" t="s">
        <v>80</v>
      </c>
      <c r="B13" s="32"/>
    </row>
    <row r="14" spans="1:3" x14ac:dyDescent="0.3">
      <c r="A14" s="30" t="s">
        <v>81</v>
      </c>
      <c r="B14" s="34">
        <v>29876</v>
      </c>
    </row>
    <row r="15" spans="1:3" x14ac:dyDescent="0.3">
      <c r="A15" s="30" t="s">
        <v>79</v>
      </c>
      <c r="B15" s="34">
        <f>+B14*B13</f>
        <v>0</v>
      </c>
    </row>
    <row r="16" spans="1:3" x14ac:dyDescent="0.3">
      <c r="A16" s="36" t="s">
        <v>86</v>
      </c>
      <c r="B16" s="34"/>
    </row>
    <row r="17" spans="1:3" x14ac:dyDescent="0.3">
      <c r="A17" s="30" t="s">
        <v>89</v>
      </c>
      <c r="B17" s="34"/>
    </row>
    <row r="18" spans="1:3" x14ac:dyDescent="0.3">
      <c r="A18" s="30" t="s">
        <v>90</v>
      </c>
      <c r="B18" s="34"/>
    </row>
    <row r="19" spans="1:3" x14ac:dyDescent="0.3">
      <c r="A19" s="30" t="s">
        <v>91</v>
      </c>
      <c r="B19" s="34"/>
    </row>
    <row r="20" spans="1:3" x14ac:dyDescent="0.3">
      <c r="A20" s="36" t="s">
        <v>82</v>
      </c>
      <c r="B20" s="30"/>
    </row>
    <row r="21" spans="1:3" x14ac:dyDescent="0.3">
      <c r="A21" s="30" t="s">
        <v>87</v>
      </c>
      <c r="B21" s="32"/>
    </row>
    <row r="22" spans="1:3" x14ac:dyDescent="0.3">
      <c r="A22" s="30" t="s">
        <v>88</v>
      </c>
      <c r="B22" s="32"/>
    </row>
    <row r="23" spans="1:3" x14ac:dyDescent="0.3">
      <c r="A23" s="30" t="s">
        <v>94</v>
      </c>
      <c r="B23" s="32"/>
    </row>
    <row r="24" spans="1:3" x14ac:dyDescent="0.3">
      <c r="A24" s="36" t="s">
        <v>92</v>
      </c>
      <c r="B24" s="32"/>
    </row>
    <row r="25" spans="1:3" x14ac:dyDescent="0.3">
      <c r="A25" s="30" t="s">
        <v>87</v>
      </c>
      <c r="B25" s="34">
        <f>+B21*$B$15</f>
        <v>0</v>
      </c>
    </row>
    <row r="26" spans="1:3" x14ac:dyDescent="0.3">
      <c r="A26" s="30" t="s">
        <v>88</v>
      </c>
      <c r="B26" s="34">
        <f>+B22*$B$15</f>
        <v>0</v>
      </c>
    </row>
    <row r="27" spans="1:3" x14ac:dyDescent="0.3">
      <c r="A27" s="30" t="s">
        <v>94</v>
      </c>
      <c r="B27" s="34">
        <f>+B23*$B$15</f>
        <v>0</v>
      </c>
      <c r="C27" s="6"/>
    </row>
    <row r="28" spans="1:3" x14ac:dyDescent="0.3">
      <c r="A28" s="35" t="s">
        <v>84</v>
      </c>
      <c r="B28" s="35" t="s">
        <v>85</v>
      </c>
    </row>
    <row r="29" spans="1:3" x14ac:dyDescent="0.3">
      <c r="A29" s="30" t="s">
        <v>103</v>
      </c>
      <c r="B29" s="34">
        <f>+B25*B17</f>
        <v>0</v>
      </c>
    </row>
    <row r="30" spans="1:3" x14ac:dyDescent="0.3">
      <c r="A30" s="30" t="s">
        <v>104</v>
      </c>
      <c r="B30" s="34">
        <f>+B26*B18</f>
        <v>0</v>
      </c>
    </row>
    <row r="31" spans="1:3" x14ac:dyDescent="0.3">
      <c r="A31" s="30" t="s">
        <v>105</v>
      </c>
      <c r="B31" s="34">
        <f>+B27*B19</f>
        <v>0</v>
      </c>
    </row>
    <row r="32" spans="1:3" x14ac:dyDescent="0.3">
      <c r="A32" s="42" t="s">
        <v>106</v>
      </c>
      <c r="B32" s="37">
        <f>SUM(B29:B31)</f>
        <v>0</v>
      </c>
    </row>
    <row r="33" spans="1:3" x14ac:dyDescent="0.3">
      <c r="B33" s="6"/>
    </row>
    <row r="35" spans="1:3" x14ac:dyDescent="0.3">
      <c r="A35" s="31" t="s">
        <v>95</v>
      </c>
      <c r="B35" s="29" t="s">
        <v>71</v>
      </c>
      <c r="C35" s="29" t="s">
        <v>72</v>
      </c>
    </row>
    <row r="36" spans="1:3" x14ac:dyDescent="0.3">
      <c r="A36" s="30" t="s">
        <v>96</v>
      </c>
      <c r="B36" s="32"/>
      <c r="C36" s="32"/>
    </row>
    <row r="37" spans="1:3" x14ac:dyDescent="0.3">
      <c r="A37" s="30" t="s">
        <v>97</v>
      </c>
      <c r="B37" s="32"/>
      <c r="C37" s="32"/>
    </row>
    <row r="38" spans="1:3" x14ac:dyDescent="0.3">
      <c r="B38" s="41"/>
      <c r="C38" s="41"/>
    </row>
    <row r="39" spans="1:3" x14ac:dyDescent="0.3">
      <c r="B39" s="41"/>
      <c r="C39" s="41"/>
    </row>
    <row r="40" spans="1:3" x14ac:dyDescent="0.3">
      <c r="A40" s="31" t="s">
        <v>111</v>
      </c>
      <c r="B40" s="32">
        <v>0.8</v>
      </c>
      <c r="C40" s="41"/>
    </row>
    <row r="42" spans="1:3" x14ac:dyDescent="0.3">
      <c r="A42" s="31" t="s">
        <v>117</v>
      </c>
      <c r="B42" s="29" t="s">
        <v>71</v>
      </c>
      <c r="C42" s="29" t="s">
        <v>72</v>
      </c>
    </row>
    <row r="43" spans="1:3" x14ac:dyDescent="0.3">
      <c r="A43" s="44" t="s">
        <v>118</v>
      </c>
      <c r="B43" s="32">
        <v>0.2</v>
      </c>
      <c r="C43" s="32">
        <v>0.24</v>
      </c>
    </row>
    <row r="44" spans="1:3" ht="15.6" x14ac:dyDescent="0.3">
      <c r="A44" s="43" t="s">
        <v>30</v>
      </c>
      <c r="B44" s="32">
        <v>0.3</v>
      </c>
      <c r="C44" s="32">
        <v>0.3</v>
      </c>
    </row>
    <row r="45" spans="1:3" ht="15.6" x14ac:dyDescent="0.3">
      <c r="A45" s="43" t="s">
        <v>31</v>
      </c>
      <c r="B45" s="32">
        <v>0.3</v>
      </c>
      <c r="C45" s="32">
        <v>0.3</v>
      </c>
    </row>
    <row r="48" spans="1:3" x14ac:dyDescent="0.3">
      <c r="A48" s="31" t="s">
        <v>123</v>
      </c>
      <c r="B48" s="29" t="s">
        <v>71</v>
      </c>
      <c r="C48" s="29" t="s">
        <v>72</v>
      </c>
    </row>
    <row r="49" spans="1:3" x14ac:dyDescent="0.3">
      <c r="A49" s="49" t="s">
        <v>124</v>
      </c>
      <c r="B49" s="32">
        <v>0</v>
      </c>
      <c r="C49" s="32">
        <v>0</v>
      </c>
    </row>
    <row r="50" spans="1:3" x14ac:dyDescent="0.3">
      <c r="A50" s="49" t="s">
        <v>127</v>
      </c>
      <c r="B50" s="32">
        <v>0</v>
      </c>
      <c r="C50" s="32">
        <v>0</v>
      </c>
    </row>
    <row r="51" spans="1:3" x14ac:dyDescent="0.3">
      <c r="A51" s="49" t="s">
        <v>60</v>
      </c>
      <c r="B51" s="32">
        <v>0</v>
      </c>
      <c r="C51" s="32">
        <v>0</v>
      </c>
    </row>
    <row r="52" spans="1:3" x14ac:dyDescent="0.3">
      <c r="A52" s="49" t="s">
        <v>125</v>
      </c>
      <c r="B52" s="32">
        <v>0</v>
      </c>
      <c r="C52" s="32">
        <v>0</v>
      </c>
    </row>
    <row r="53" spans="1:3" x14ac:dyDescent="0.3">
      <c r="A53" s="49" t="s">
        <v>126</v>
      </c>
      <c r="B53" s="32">
        <v>0</v>
      </c>
      <c r="C53" s="32">
        <v>0</v>
      </c>
    </row>
    <row r="54" spans="1:3" x14ac:dyDescent="0.3">
      <c r="A54" s="50" t="s">
        <v>61</v>
      </c>
      <c r="B54" s="32">
        <v>0</v>
      </c>
      <c r="C54" s="32">
        <v>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10" sqref="H10"/>
    </sheetView>
  </sheetViews>
  <sheetFormatPr baseColWidth="10" defaultRowHeight="14.4" x14ac:dyDescent="0.3"/>
  <cols>
    <col min="1" max="1" width="26.88671875" customWidth="1"/>
    <col min="2" max="2" width="13.33203125" customWidth="1"/>
    <col min="3" max="3" width="11.77734375" customWidth="1"/>
  </cols>
  <sheetData>
    <row r="1" spans="1:26" ht="18" x14ac:dyDescent="0.35">
      <c r="A1" s="1" t="s">
        <v>98</v>
      </c>
    </row>
    <row r="3" spans="1:26" ht="15.6" x14ac:dyDescent="0.3">
      <c r="A3" s="2" t="s">
        <v>99</v>
      </c>
      <c r="B3" s="2" t="s">
        <v>100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</row>
    <row r="4" spans="1:26" x14ac:dyDescent="0.3">
      <c r="A4" s="30" t="s">
        <v>101</v>
      </c>
      <c r="B4" s="34">
        <f>+'Variables '!B14</f>
        <v>29876</v>
      </c>
      <c r="C4" s="34">
        <f>(B4*('Variables '!$B$36/12))+B4</f>
        <v>29876</v>
      </c>
      <c r="D4" s="34">
        <f>(C4*('Variables '!$B$36/12))+C4</f>
        <v>29876</v>
      </c>
      <c r="E4" s="34">
        <f>(D4*('Variables '!$B$36/12))+D4</f>
        <v>29876</v>
      </c>
      <c r="F4" s="34">
        <f>(E4*('Variables '!$B$36/12))+E4</f>
        <v>29876</v>
      </c>
      <c r="G4" s="34">
        <f>(F4*('Variables '!$B$36/12))+F4</f>
        <v>29876</v>
      </c>
      <c r="H4" s="34">
        <f>(G4*('Variables '!$B$36/12))+G4</f>
        <v>29876</v>
      </c>
      <c r="I4" s="34">
        <f>(H4*('Variables '!$B$36/12))+H4</f>
        <v>29876</v>
      </c>
      <c r="J4" s="34">
        <f>(I4*('Variables '!$B$36/12))+I4</f>
        <v>29876</v>
      </c>
      <c r="K4" s="34">
        <f>(J4*('Variables '!$B$36/12))+J4</f>
        <v>29876</v>
      </c>
      <c r="L4" s="34">
        <f>(K4*('Variables '!$B$36/12))+K4</f>
        <v>29876</v>
      </c>
      <c r="M4" s="34">
        <f>(L4*('Variables '!$B$36/12))+L4</f>
        <v>29876</v>
      </c>
      <c r="N4" s="34">
        <f>(M4*('Variables '!$B$36/12))+M4</f>
        <v>29876</v>
      </c>
      <c r="O4" s="34">
        <f>(N4*('Variables '!$C$36/12))+N4</f>
        <v>29876</v>
      </c>
      <c r="P4" s="34">
        <f>(O4*('Variables '!$C$36/12))+O4</f>
        <v>29876</v>
      </c>
      <c r="Q4" s="34">
        <f>(P4*('Variables '!$C$36/12))+P4</f>
        <v>29876</v>
      </c>
      <c r="R4" s="34">
        <f>(Q4*('Variables '!$C$36/12))+Q4</f>
        <v>29876</v>
      </c>
      <c r="S4" s="34">
        <f>(R4*('Variables '!$C$36/12))+R4</f>
        <v>29876</v>
      </c>
      <c r="T4" s="34">
        <f>(S4*('Variables '!$C$36/12))+S4</f>
        <v>29876</v>
      </c>
      <c r="U4" s="34">
        <f>(T4*('Variables '!$C$36/12))+T4</f>
        <v>29876</v>
      </c>
      <c r="V4" s="34">
        <f>(U4*('Variables '!$C$36/12))+U4</f>
        <v>29876</v>
      </c>
      <c r="W4" s="34">
        <f>(V4*('Variables '!$C$36/12))+V4</f>
        <v>29876</v>
      </c>
      <c r="X4" s="34">
        <f>(W4*('Variables '!$C$36/12))+W4</f>
        <v>29876</v>
      </c>
      <c r="Y4" s="34">
        <f>(X4*('Variables '!$C$36/12))+X4</f>
        <v>29876</v>
      </c>
      <c r="Z4" s="34">
        <f>(Y4*('Variables '!$C$36/12))+Y4</f>
        <v>29876</v>
      </c>
    </row>
    <row r="5" spans="1:26" x14ac:dyDescent="0.3">
      <c r="A5" s="30" t="s">
        <v>102</v>
      </c>
      <c r="B5" s="33"/>
      <c r="C5" s="34">
        <f>+C4-B4</f>
        <v>0</v>
      </c>
      <c r="D5" s="34">
        <f t="shared" ref="D5:Z5" si="0">+D4-C4</f>
        <v>0</v>
      </c>
      <c r="E5" s="34">
        <f t="shared" si="0"/>
        <v>0</v>
      </c>
      <c r="F5" s="34">
        <f t="shared" si="0"/>
        <v>0</v>
      </c>
      <c r="G5" s="34">
        <f t="shared" si="0"/>
        <v>0</v>
      </c>
      <c r="H5" s="34">
        <f t="shared" si="0"/>
        <v>0</v>
      </c>
      <c r="I5" s="34">
        <f t="shared" si="0"/>
        <v>0</v>
      </c>
      <c r="J5" s="34">
        <f t="shared" si="0"/>
        <v>0</v>
      </c>
      <c r="K5" s="34">
        <f t="shared" si="0"/>
        <v>0</v>
      </c>
      <c r="L5" s="34">
        <f t="shared" si="0"/>
        <v>0</v>
      </c>
      <c r="M5" s="34">
        <f t="shared" si="0"/>
        <v>0</v>
      </c>
      <c r="N5" s="34">
        <f t="shared" si="0"/>
        <v>0</v>
      </c>
      <c r="O5" s="34">
        <f t="shared" si="0"/>
        <v>0</v>
      </c>
      <c r="P5" s="34">
        <f t="shared" si="0"/>
        <v>0</v>
      </c>
      <c r="Q5" s="34">
        <f t="shared" si="0"/>
        <v>0</v>
      </c>
      <c r="R5" s="34">
        <f t="shared" si="0"/>
        <v>0</v>
      </c>
      <c r="S5" s="34">
        <f t="shared" si="0"/>
        <v>0</v>
      </c>
      <c r="T5" s="34">
        <f t="shared" si="0"/>
        <v>0</v>
      </c>
      <c r="U5" s="34">
        <f t="shared" si="0"/>
        <v>0</v>
      </c>
      <c r="V5" s="34">
        <f t="shared" si="0"/>
        <v>0</v>
      </c>
      <c r="W5" s="34">
        <f t="shared" si="0"/>
        <v>0</v>
      </c>
      <c r="X5" s="34">
        <f t="shared" si="0"/>
        <v>0</v>
      </c>
      <c r="Y5" s="34">
        <f t="shared" si="0"/>
        <v>0</v>
      </c>
      <c r="Z5" s="34">
        <f t="shared" si="0"/>
        <v>0</v>
      </c>
    </row>
    <row r="7" spans="1:26" x14ac:dyDescent="0.3">
      <c r="A7" s="30" t="s">
        <v>108</v>
      </c>
      <c r="B7" s="34">
        <f>+'Variables '!B32</f>
        <v>0</v>
      </c>
      <c r="C7" s="34">
        <f>(B7*('Variables '!$B$37/12)+B7)</f>
        <v>0</v>
      </c>
      <c r="D7" s="34">
        <f>(C7*('Variables '!$B$37/12)+C7)</f>
        <v>0</v>
      </c>
      <c r="E7" s="34">
        <f>(D7*('Variables '!$B$37/12)+D7)</f>
        <v>0</v>
      </c>
      <c r="F7" s="34">
        <f>(E7*('Variables '!$B$37/12)+E7)</f>
        <v>0</v>
      </c>
      <c r="G7" s="34">
        <f>(F7*('Variables '!$B$37/12)+F7)</f>
        <v>0</v>
      </c>
      <c r="H7" s="34">
        <f>(G7*('Variables '!$B$37/12)+G7)</f>
        <v>0</v>
      </c>
      <c r="I7" s="34">
        <f>(H7*('Variables '!$B$37/12)+H7)</f>
        <v>0</v>
      </c>
      <c r="J7" s="34">
        <f>(I7*('Variables '!$B$37/12)+I7)</f>
        <v>0</v>
      </c>
      <c r="K7" s="34">
        <f>(J7*('Variables '!$B$37/12)+J7)</f>
        <v>0</v>
      </c>
      <c r="L7" s="34">
        <f>(K7*('Variables '!$B$37/12)+K7)</f>
        <v>0</v>
      </c>
      <c r="M7" s="34">
        <f>(L7*('Variables '!$B$37/12)+L7)</f>
        <v>0</v>
      </c>
      <c r="N7" s="34">
        <f>(M7*('Variables '!$B$37/12)+M7)</f>
        <v>0</v>
      </c>
      <c r="O7" s="34">
        <f>(N7*('Variables '!$C$37/12)+N7)</f>
        <v>0</v>
      </c>
      <c r="P7" s="34">
        <f>(O7*('Variables '!$C$37/12)+O7)</f>
        <v>0</v>
      </c>
      <c r="Q7" s="34">
        <f>(P7*('Variables '!$C$37/12)+P7)</f>
        <v>0</v>
      </c>
      <c r="R7" s="34">
        <f>(Q7*('Variables '!$C$37/12)+Q7)</f>
        <v>0</v>
      </c>
      <c r="S7" s="34">
        <f>(R7*('Variables '!$C$37/12)+R7)</f>
        <v>0</v>
      </c>
      <c r="T7" s="34">
        <f>(S7*('Variables '!$C$37/12)+S7)</f>
        <v>0</v>
      </c>
      <c r="U7" s="34">
        <f>(T7*('Variables '!$C$37/12)+T7)</f>
        <v>0</v>
      </c>
      <c r="V7" s="34">
        <f>(U7*('Variables '!$C$37/12)+U7)</f>
        <v>0</v>
      </c>
      <c r="W7" s="34">
        <f>(V7*('Variables '!$C$37/12)+V7)</f>
        <v>0</v>
      </c>
      <c r="X7" s="34">
        <f>(W7*('Variables '!$C$37/12)+W7)</f>
        <v>0</v>
      </c>
      <c r="Y7" s="34">
        <f>(X7*('Variables '!$C$37/12)+X7)</f>
        <v>0</v>
      </c>
      <c r="Z7" s="34">
        <f>(Y7*('Variables '!$C$37/12)+Y7)</f>
        <v>0</v>
      </c>
    </row>
    <row r="8" spans="1:26" x14ac:dyDescent="0.3">
      <c r="A8" s="30" t="s">
        <v>107</v>
      </c>
      <c r="B8" s="33"/>
      <c r="C8" s="34">
        <f>+B7*('Variables '!$B$8/12)</f>
        <v>0</v>
      </c>
      <c r="D8" s="34">
        <f>+C7*('Variables '!$B$8/12)</f>
        <v>0</v>
      </c>
      <c r="E8" s="34">
        <f>+D7*('Variables '!$B$8/12)</f>
        <v>0</v>
      </c>
      <c r="F8" s="34">
        <f>+E7*('Variables '!$B$8/12)</f>
        <v>0</v>
      </c>
      <c r="G8" s="34">
        <f>+F7*('Variables '!$B$8/12)</f>
        <v>0</v>
      </c>
      <c r="H8" s="34">
        <f>+G7*('Variables '!$B$8/12)</f>
        <v>0</v>
      </c>
      <c r="I8" s="34">
        <f>+H7*('Variables '!$B$8/12)</f>
        <v>0</v>
      </c>
      <c r="J8" s="34">
        <f>+I7*('Variables '!$B$8/12)</f>
        <v>0</v>
      </c>
      <c r="K8" s="34">
        <f>+J7*('Variables '!$B$8/12)</f>
        <v>0</v>
      </c>
      <c r="L8" s="34">
        <f>+K7*('Variables '!$B$8/12)</f>
        <v>0</v>
      </c>
      <c r="M8" s="34">
        <f>+L7*('Variables '!$B$8/12)</f>
        <v>0</v>
      </c>
      <c r="N8" s="34">
        <f>+M7*('Variables '!$B$8/12)</f>
        <v>0</v>
      </c>
      <c r="O8" s="34">
        <f>+N7*('Variables '!$B$8/12)</f>
        <v>0</v>
      </c>
      <c r="P8" s="34" t="e">
        <f>+O7*('Variables '!$C$8/12)</f>
        <v>#DIV/0!</v>
      </c>
      <c r="Q8" s="34" t="e">
        <f>+P7*('Variables '!$C$8/12)</f>
        <v>#DIV/0!</v>
      </c>
      <c r="R8" s="34" t="e">
        <f>+Q7*('Variables '!$C$8/12)</f>
        <v>#DIV/0!</v>
      </c>
      <c r="S8" s="34" t="e">
        <f>+R7*('Variables '!$C$8/12)</f>
        <v>#DIV/0!</v>
      </c>
      <c r="T8" s="34" t="e">
        <f>+S7*('Variables '!$C$8/12)</f>
        <v>#DIV/0!</v>
      </c>
      <c r="U8" s="34" t="e">
        <f>+T7*('Variables '!$C$8/12)</f>
        <v>#DIV/0!</v>
      </c>
      <c r="V8" s="34" t="e">
        <f>+U7*('Variables '!$C$8/12)</f>
        <v>#DIV/0!</v>
      </c>
      <c r="W8" s="34" t="e">
        <f>+V7*('Variables '!$C$8/12)</f>
        <v>#DIV/0!</v>
      </c>
      <c r="X8" s="34" t="e">
        <f>+W7*('Variables '!$C$8/12)</f>
        <v>#DIV/0!</v>
      </c>
      <c r="Y8" s="34" t="e">
        <f>+X7*('Variables '!$C$8/12)</f>
        <v>#DIV/0!</v>
      </c>
      <c r="Z8" s="34" t="e">
        <f>+Y7*('Variables '!$C$8/12)</f>
        <v>#DIV/0!</v>
      </c>
    </row>
    <row r="10" spans="1:26" x14ac:dyDescent="0.3">
      <c r="A10" s="30" t="s">
        <v>109</v>
      </c>
      <c r="B10" s="30">
        <v>80</v>
      </c>
      <c r="C10" s="34">
        <f>(B10*'Variables '!$B$5)+B10</f>
        <v>80</v>
      </c>
      <c r="D10" s="34">
        <f>+C10</f>
        <v>80</v>
      </c>
      <c r="E10" s="34">
        <f t="shared" ref="E10:N10" si="1">+D10</f>
        <v>80</v>
      </c>
      <c r="F10" s="34">
        <f t="shared" si="1"/>
        <v>80</v>
      </c>
      <c r="G10" s="34">
        <f t="shared" si="1"/>
        <v>80</v>
      </c>
      <c r="H10" s="34">
        <f t="shared" si="1"/>
        <v>80</v>
      </c>
      <c r="I10" s="34">
        <f t="shared" si="1"/>
        <v>80</v>
      </c>
      <c r="J10" s="34">
        <f t="shared" si="1"/>
        <v>80</v>
      </c>
      <c r="K10" s="34">
        <f t="shared" si="1"/>
        <v>80</v>
      </c>
      <c r="L10" s="34">
        <f t="shared" si="1"/>
        <v>80</v>
      </c>
      <c r="M10" s="34">
        <f t="shared" si="1"/>
        <v>80</v>
      </c>
      <c r="N10" s="34">
        <f t="shared" si="1"/>
        <v>80</v>
      </c>
      <c r="O10" s="34">
        <f>(N10*'Variables '!$C$5)+N10</f>
        <v>80</v>
      </c>
      <c r="P10" s="34">
        <f>+O10</f>
        <v>80</v>
      </c>
      <c r="Q10" s="34">
        <f t="shared" ref="Q10:Z10" si="2">+P10</f>
        <v>80</v>
      </c>
      <c r="R10" s="34">
        <f t="shared" si="2"/>
        <v>80</v>
      </c>
      <c r="S10" s="34">
        <f t="shared" si="2"/>
        <v>80</v>
      </c>
      <c r="T10" s="34">
        <f t="shared" si="2"/>
        <v>80</v>
      </c>
      <c r="U10" s="34">
        <f t="shared" si="2"/>
        <v>80</v>
      </c>
      <c r="V10" s="34">
        <f t="shared" si="2"/>
        <v>80</v>
      </c>
      <c r="W10" s="34">
        <f t="shared" si="2"/>
        <v>80</v>
      </c>
      <c r="X10" s="34">
        <f t="shared" si="2"/>
        <v>80</v>
      </c>
      <c r="Y10" s="34">
        <f t="shared" si="2"/>
        <v>80</v>
      </c>
      <c r="Z10" s="34">
        <f t="shared" si="2"/>
        <v>80</v>
      </c>
    </row>
    <row r="11" spans="1:26" x14ac:dyDescent="0.3">
      <c r="A11" s="30" t="s">
        <v>110</v>
      </c>
      <c r="B11" s="33"/>
      <c r="C11" s="34">
        <f>+C10*C4</f>
        <v>2390080</v>
      </c>
      <c r="D11" s="34">
        <f t="shared" ref="D11:Z11" si="3">+D10*D4</f>
        <v>2390080</v>
      </c>
      <c r="E11" s="34">
        <f t="shared" si="3"/>
        <v>2390080</v>
      </c>
      <c r="F11" s="34">
        <f t="shared" si="3"/>
        <v>2390080</v>
      </c>
      <c r="G11" s="34">
        <f t="shared" si="3"/>
        <v>2390080</v>
      </c>
      <c r="H11" s="34">
        <f t="shared" si="3"/>
        <v>2390080</v>
      </c>
      <c r="I11" s="34">
        <f t="shared" si="3"/>
        <v>2390080</v>
      </c>
      <c r="J11" s="34">
        <f t="shared" si="3"/>
        <v>2390080</v>
      </c>
      <c r="K11" s="34">
        <f t="shared" si="3"/>
        <v>2390080</v>
      </c>
      <c r="L11" s="34">
        <f t="shared" si="3"/>
        <v>2390080</v>
      </c>
      <c r="M11" s="34">
        <f t="shared" si="3"/>
        <v>2390080</v>
      </c>
      <c r="N11" s="34">
        <f t="shared" si="3"/>
        <v>2390080</v>
      </c>
      <c r="O11" s="34">
        <f t="shared" si="3"/>
        <v>2390080</v>
      </c>
      <c r="P11" s="34">
        <f t="shared" si="3"/>
        <v>2390080</v>
      </c>
      <c r="Q11" s="34">
        <f t="shared" si="3"/>
        <v>2390080</v>
      </c>
      <c r="R11" s="34">
        <f t="shared" si="3"/>
        <v>2390080</v>
      </c>
      <c r="S11" s="34">
        <f t="shared" si="3"/>
        <v>2390080</v>
      </c>
      <c r="T11" s="34">
        <f t="shared" si="3"/>
        <v>2390080</v>
      </c>
      <c r="U11" s="34">
        <f t="shared" si="3"/>
        <v>2390080</v>
      </c>
      <c r="V11" s="34">
        <f t="shared" si="3"/>
        <v>2390080</v>
      </c>
      <c r="W11" s="34">
        <f t="shared" si="3"/>
        <v>2390080</v>
      </c>
      <c r="X11" s="34">
        <f t="shared" si="3"/>
        <v>2390080</v>
      </c>
      <c r="Y11" s="34">
        <f t="shared" si="3"/>
        <v>2390080</v>
      </c>
      <c r="Z11" s="34">
        <f t="shared" si="3"/>
        <v>2390080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9"/>
  <sheetViews>
    <sheetView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13" sqref="B13"/>
    </sheetView>
  </sheetViews>
  <sheetFormatPr baseColWidth="10" defaultRowHeight="14.4" x14ac:dyDescent="0.3"/>
  <cols>
    <col min="1" max="1" width="34.88671875" customWidth="1"/>
    <col min="2" max="2" width="11.44140625" customWidth="1"/>
  </cols>
  <sheetData>
    <row r="1" spans="1:25" ht="18" x14ac:dyDescent="0.35">
      <c r="A1" s="1" t="s">
        <v>112</v>
      </c>
      <c r="B1" s="1"/>
    </row>
    <row r="3" spans="1:25" ht="15.6" x14ac:dyDescent="0.3">
      <c r="A3" s="4" t="s">
        <v>116</v>
      </c>
      <c r="B3" s="5">
        <f>+'Proyección Asociados y Ahorro'!C7</f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6" x14ac:dyDescent="0.3">
      <c r="A4" s="4" t="s">
        <v>113</v>
      </c>
      <c r="B4" s="5">
        <f>+B3*'Variables '!B40</f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6" x14ac:dyDescent="0.3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.6" x14ac:dyDescent="0.3">
      <c r="A6" s="2" t="s">
        <v>99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  <c r="P6" s="3" t="s">
        <v>16</v>
      </c>
      <c r="Q6" s="3" t="s">
        <v>17</v>
      </c>
      <c r="R6" s="3" t="s">
        <v>18</v>
      </c>
      <c r="S6" s="3" t="s">
        <v>19</v>
      </c>
      <c r="T6" s="3" t="s">
        <v>20</v>
      </c>
      <c r="U6" s="3" t="s">
        <v>21</v>
      </c>
      <c r="V6" s="3" t="s">
        <v>22</v>
      </c>
      <c r="W6" s="3" t="s">
        <v>23</v>
      </c>
      <c r="X6" s="3" t="s">
        <v>24</v>
      </c>
      <c r="Y6" s="3" t="s">
        <v>25</v>
      </c>
    </row>
    <row r="7" spans="1:25" ht="15.6" x14ac:dyDescent="0.3">
      <c r="A7" s="45" t="s">
        <v>120</v>
      </c>
      <c r="B7" s="9">
        <f>+B4</f>
        <v>0</v>
      </c>
      <c r="C7" s="9">
        <f>(B7*('Variables '!$B$43/12))+B7</f>
        <v>0</v>
      </c>
      <c r="D7" s="9">
        <f>(C7*('Variables '!$B$43/12))+C7</f>
        <v>0</v>
      </c>
      <c r="E7" s="9">
        <f>(D7*('Variables '!$B$43/12))+D7</f>
        <v>0</v>
      </c>
      <c r="F7" s="9">
        <f>(E7*('Variables '!$B$43/12))+E7</f>
        <v>0</v>
      </c>
      <c r="G7" s="9">
        <f>(F7*('Variables '!$B$43/12))+F7</f>
        <v>0</v>
      </c>
      <c r="H7" s="9">
        <f>(G7*('Variables '!$B$43/12))+G7</f>
        <v>0</v>
      </c>
      <c r="I7" s="9">
        <f>(H7*('Variables '!$B$43/12))+H7</f>
        <v>0</v>
      </c>
      <c r="J7" s="9">
        <f>(I7*('Variables '!$B$43/12))+I7</f>
        <v>0</v>
      </c>
      <c r="K7" s="9">
        <f>(J7*('Variables '!$B$43/12))+J7</f>
        <v>0</v>
      </c>
      <c r="L7" s="9">
        <f>(K7*('Variables '!$B$43/12))+K7</f>
        <v>0</v>
      </c>
      <c r="M7" s="9">
        <f>(L7*('Variables '!$B$43/12))+L7</f>
        <v>0</v>
      </c>
      <c r="N7" s="9">
        <f>(M7*('Variables '!$C$43/12))+M7</f>
        <v>0</v>
      </c>
      <c r="O7" s="9">
        <f>(N7*('Variables '!$C$43/12))+N7</f>
        <v>0</v>
      </c>
      <c r="P7" s="9">
        <f>(O7*('Variables '!$C$43/12))+O7</f>
        <v>0</v>
      </c>
      <c r="Q7" s="9">
        <f>(P7*('Variables '!$C$43/12))+P7</f>
        <v>0</v>
      </c>
      <c r="R7" s="9">
        <f>(Q7*('Variables '!$C$43/12))+Q7</f>
        <v>0</v>
      </c>
      <c r="S7" s="9">
        <f>(R7*('Variables '!$C$43/12))+R7</f>
        <v>0</v>
      </c>
      <c r="T7" s="9">
        <f>(S7*('Variables '!$C$43/12))+S7</f>
        <v>0</v>
      </c>
      <c r="U7" s="9">
        <f>(T7*('Variables '!$C$43/12))+T7</f>
        <v>0</v>
      </c>
      <c r="V7" s="9">
        <f>(U7*('Variables '!$C$43/12))+U7</f>
        <v>0</v>
      </c>
      <c r="W7" s="9">
        <f>(V7*('Variables '!$C$43/12))+V7</f>
        <v>0</v>
      </c>
      <c r="X7" s="9">
        <f>(W7*('Variables '!$C$43/12))+W7</f>
        <v>0</v>
      </c>
      <c r="Y7" s="9">
        <f>(X7*('Variables '!$C$43/12))+X7</f>
        <v>0</v>
      </c>
    </row>
    <row r="8" spans="1:25" ht="15.6" x14ac:dyDescent="0.3">
      <c r="A8" s="45" t="s">
        <v>119</v>
      </c>
      <c r="B8" s="9">
        <f>158344/24</f>
        <v>6597.666666666667</v>
      </c>
      <c r="C8" s="9">
        <f t="shared" ref="C8:Y8" si="0">158344/24</f>
        <v>6597.666666666667</v>
      </c>
      <c r="D8" s="9">
        <f t="shared" si="0"/>
        <v>6597.666666666667</v>
      </c>
      <c r="E8" s="9">
        <f t="shared" si="0"/>
        <v>6597.666666666667</v>
      </c>
      <c r="F8" s="9">
        <f t="shared" si="0"/>
        <v>6597.666666666667</v>
      </c>
      <c r="G8" s="9">
        <f t="shared" si="0"/>
        <v>6597.666666666667</v>
      </c>
      <c r="H8" s="9">
        <f t="shared" si="0"/>
        <v>6597.666666666667</v>
      </c>
      <c r="I8" s="9">
        <f t="shared" si="0"/>
        <v>6597.666666666667</v>
      </c>
      <c r="J8" s="9">
        <f t="shared" si="0"/>
        <v>6597.666666666667</v>
      </c>
      <c r="K8" s="9">
        <f t="shared" si="0"/>
        <v>6597.666666666667</v>
      </c>
      <c r="L8" s="9">
        <f t="shared" si="0"/>
        <v>6597.666666666667</v>
      </c>
      <c r="M8" s="9">
        <f t="shared" si="0"/>
        <v>6597.666666666667</v>
      </c>
      <c r="N8" s="9">
        <f t="shared" si="0"/>
        <v>6597.666666666667</v>
      </c>
      <c r="O8" s="9">
        <f t="shared" si="0"/>
        <v>6597.666666666667</v>
      </c>
      <c r="P8" s="9">
        <f t="shared" si="0"/>
        <v>6597.666666666667</v>
      </c>
      <c r="Q8" s="9">
        <f t="shared" si="0"/>
        <v>6597.666666666667</v>
      </c>
      <c r="R8" s="9">
        <f t="shared" si="0"/>
        <v>6597.666666666667</v>
      </c>
      <c r="S8" s="9">
        <f t="shared" si="0"/>
        <v>6597.666666666667</v>
      </c>
      <c r="T8" s="9">
        <f t="shared" si="0"/>
        <v>6597.666666666667</v>
      </c>
      <c r="U8" s="9">
        <f t="shared" si="0"/>
        <v>6597.666666666667</v>
      </c>
      <c r="V8" s="9">
        <f t="shared" si="0"/>
        <v>6597.666666666667</v>
      </c>
      <c r="W8" s="9">
        <f t="shared" si="0"/>
        <v>6597.666666666667</v>
      </c>
      <c r="X8" s="9">
        <f t="shared" si="0"/>
        <v>6597.666666666667</v>
      </c>
      <c r="Y8" s="9">
        <f t="shared" si="0"/>
        <v>6597.666666666667</v>
      </c>
    </row>
    <row r="9" spans="1:25" ht="15.6" x14ac:dyDescent="0.3">
      <c r="A9" s="45" t="s">
        <v>122</v>
      </c>
      <c r="B9" s="9">
        <f>+'Cuadro de Resultados'!D6</f>
        <v>55428.457971833326</v>
      </c>
      <c r="C9" s="9">
        <f>+B9</f>
        <v>55428.457971833326</v>
      </c>
      <c r="D9" s="9">
        <f t="shared" ref="D9:F9" si="1">+C9</f>
        <v>55428.457971833326</v>
      </c>
      <c r="E9" s="9">
        <f t="shared" si="1"/>
        <v>55428.457971833326</v>
      </c>
      <c r="F9" s="9">
        <f t="shared" si="1"/>
        <v>55428.457971833326</v>
      </c>
      <c r="G9" s="9">
        <f>+F9</f>
        <v>55428.457971833326</v>
      </c>
      <c r="H9" s="9">
        <f t="shared" ref="H9:Y9" si="2">+G9</f>
        <v>55428.457971833326</v>
      </c>
      <c r="I9" s="9">
        <f t="shared" si="2"/>
        <v>55428.457971833326</v>
      </c>
      <c r="J9" s="9">
        <f t="shared" si="2"/>
        <v>55428.457971833326</v>
      </c>
      <c r="K9" s="9">
        <f t="shared" si="2"/>
        <v>55428.457971833326</v>
      </c>
      <c r="L9" s="9">
        <f t="shared" si="2"/>
        <v>55428.457971833326</v>
      </c>
      <c r="M9" s="9">
        <f t="shared" si="2"/>
        <v>55428.457971833326</v>
      </c>
      <c r="N9" s="9">
        <f t="shared" si="2"/>
        <v>55428.457971833326</v>
      </c>
      <c r="O9" s="9">
        <f t="shared" si="2"/>
        <v>55428.457971833326</v>
      </c>
      <c r="P9" s="9">
        <f t="shared" si="2"/>
        <v>55428.457971833326</v>
      </c>
      <c r="Q9" s="9">
        <f t="shared" si="2"/>
        <v>55428.457971833326</v>
      </c>
      <c r="R9" s="9">
        <f t="shared" si="2"/>
        <v>55428.457971833326</v>
      </c>
      <c r="S9" s="9">
        <f t="shared" si="2"/>
        <v>55428.457971833326</v>
      </c>
      <c r="T9" s="9">
        <f t="shared" si="2"/>
        <v>55428.457971833326</v>
      </c>
      <c r="U9" s="9">
        <f t="shared" si="2"/>
        <v>55428.457971833326</v>
      </c>
      <c r="V9" s="9">
        <f t="shared" si="2"/>
        <v>55428.457971833326</v>
      </c>
      <c r="W9" s="9">
        <f t="shared" si="2"/>
        <v>55428.457971833326</v>
      </c>
      <c r="X9" s="9">
        <f t="shared" si="2"/>
        <v>55428.457971833326</v>
      </c>
      <c r="Y9" s="9">
        <f t="shared" si="2"/>
        <v>55428.457971833326</v>
      </c>
    </row>
    <row r="10" spans="1:25" ht="15.6" x14ac:dyDescent="0.3">
      <c r="A10" s="47" t="s">
        <v>121</v>
      </c>
      <c r="B10" s="48">
        <f>SUM(B7:B9)</f>
        <v>62026.12463849999</v>
      </c>
      <c r="C10" s="48">
        <f>SUM(C7:C9)</f>
        <v>62026.12463849999</v>
      </c>
      <c r="D10" s="48">
        <f>SUM(D7:D9)</f>
        <v>62026.12463849999</v>
      </c>
      <c r="E10" s="48">
        <f>SUM(E7:E9)</f>
        <v>62026.12463849999</v>
      </c>
      <c r="F10" s="48">
        <f>SUM(F7:F9)</f>
        <v>62026.12463849999</v>
      </c>
      <c r="G10" s="48">
        <f t="shared" ref="G10:Y10" si="3">SUM(G7:G9)</f>
        <v>62026.12463849999</v>
      </c>
      <c r="H10" s="48">
        <f t="shared" si="3"/>
        <v>62026.12463849999</v>
      </c>
      <c r="I10" s="48">
        <f t="shared" si="3"/>
        <v>62026.12463849999</v>
      </c>
      <c r="J10" s="48">
        <f t="shared" si="3"/>
        <v>62026.12463849999</v>
      </c>
      <c r="K10" s="48">
        <f t="shared" si="3"/>
        <v>62026.12463849999</v>
      </c>
      <c r="L10" s="48">
        <f t="shared" si="3"/>
        <v>62026.12463849999</v>
      </c>
      <c r="M10" s="48">
        <f t="shared" si="3"/>
        <v>62026.12463849999</v>
      </c>
      <c r="N10" s="48">
        <f t="shared" si="3"/>
        <v>62026.12463849999</v>
      </c>
      <c r="O10" s="48">
        <f t="shared" si="3"/>
        <v>62026.12463849999</v>
      </c>
      <c r="P10" s="48">
        <f t="shared" si="3"/>
        <v>62026.12463849999</v>
      </c>
      <c r="Q10" s="48">
        <f t="shared" si="3"/>
        <v>62026.12463849999</v>
      </c>
      <c r="R10" s="48">
        <f t="shared" si="3"/>
        <v>62026.12463849999</v>
      </c>
      <c r="S10" s="48">
        <f t="shared" si="3"/>
        <v>62026.12463849999</v>
      </c>
      <c r="T10" s="48">
        <f t="shared" si="3"/>
        <v>62026.12463849999</v>
      </c>
      <c r="U10" s="48">
        <f t="shared" si="3"/>
        <v>62026.12463849999</v>
      </c>
      <c r="V10" s="48">
        <f t="shared" si="3"/>
        <v>62026.12463849999</v>
      </c>
      <c r="W10" s="48">
        <f t="shared" si="3"/>
        <v>62026.12463849999</v>
      </c>
      <c r="X10" s="48">
        <f t="shared" si="3"/>
        <v>62026.12463849999</v>
      </c>
      <c r="Y10" s="48">
        <f t="shared" si="3"/>
        <v>62026.12463849999</v>
      </c>
    </row>
    <row r="11" spans="1:25" ht="15.6" x14ac:dyDescent="0.3">
      <c r="A11" s="4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15.6" x14ac:dyDescent="0.3">
      <c r="A12" s="4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15.6" x14ac:dyDescent="0.3">
      <c r="A13" s="43" t="s">
        <v>29</v>
      </c>
      <c r="B13" s="8">
        <f>+B10*('Variables '!$B$9/12)</f>
        <v>0</v>
      </c>
      <c r="C13" s="8">
        <f>+C10*('Variables '!$B$9/12)</f>
        <v>0</v>
      </c>
      <c r="D13" s="8">
        <f>+D10*('Variables '!$B$9/12)</f>
        <v>0</v>
      </c>
      <c r="E13" s="8">
        <f>+E10*('Variables '!$B$9/12)</f>
        <v>0</v>
      </c>
      <c r="F13" s="8">
        <f>+F10*('Variables '!$B$9/12)</f>
        <v>0</v>
      </c>
      <c r="G13" s="8">
        <f>+G10*('Variables '!$B$9/12)</f>
        <v>0</v>
      </c>
      <c r="H13" s="8">
        <f>+H10*('Variables '!$B$9/12)</f>
        <v>0</v>
      </c>
      <c r="I13" s="8">
        <f>+I10*('Variables '!$B$9/12)</f>
        <v>0</v>
      </c>
      <c r="J13" s="8">
        <f>+J10*('Variables '!$B$9/12)</f>
        <v>0</v>
      </c>
      <c r="K13" s="8">
        <f>+K10*('Variables '!$B$9/12)</f>
        <v>0</v>
      </c>
      <c r="L13" s="8">
        <f>+L10*('Variables '!$B$9/12)</f>
        <v>0</v>
      </c>
      <c r="M13" s="8">
        <f>+M10*('Variables '!$B$9/12)</f>
        <v>0</v>
      </c>
      <c r="N13" s="8" t="e">
        <f>+N10*('Variables '!$C$9/12)</f>
        <v>#DIV/0!</v>
      </c>
      <c r="O13" s="8" t="e">
        <f>+O10*('Variables '!$C$9/12)</f>
        <v>#DIV/0!</v>
      </c>
      <c r="P13" s="8" t="e">
        <f>+P10*('Variables '!$C$9/12)</f>
        <v>#DIV/0!</v>
      </c>
      <c r="Q13" s="8" t="e">
        <f>+Q10*('Variables '!$C$9/12)</f>
        <v>#DIV/0!</v>
      </c>
      <c r="R13" s="8" t="e">
        <f>+R10*('Variables '!$C$9/12)</f>
        <v>#DIV/0!</v>
      </c>
      <c r="S13" s="8" t="e">
        <f>+S10*('Variables '!$C$9/12)</f>
        <v>#DIV/0!</v>
      </c>
      <c r="T13" s="8" t="e">
        <f>+T10*('Variables '!$C$9/12)</f>
        <v>#DIV/0!</v>
      </c>
      <c r="U13" s="8" t="e">
        <f>+U10*('Variables '!$C$9/12)</f>
        <v>#DIV/0!</v>
      </c>
      <c r="V13" s="8" t="e">
        <f>+V10*('Variables '!$C$9/12)</f>
        <v>#DIV/0!</v>
      </c>
      <c r="W13" s="8" t="e">
        <f>+W10*('Variables '!$C$9/12)</f>
        <v>#DIV/0!</v>
      </c>
      <c r="X13" s="8" t="e">
        <f>+X10*('Variables '!$C$9/12)</f>
        <v>#DIV/0!</v>
      </c>
      <c r="Y13" s="8" t="e">
        <f>+Y10*('Variables '!$C$9/12)</f>
        <v>#DIV/0!</v>
      </c>
    </row>
    <row r="14" spans="1:25" ht="15.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5.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.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6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43"/>
  <sheetViews>
    <sheetView tabSelected="1"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B13" sqref="B13:B41"/>
    </sheetView>
  </sheetViews>
  <sheetFormatPr baseColWidth="10" defaultRowHeight="14.4" x14ac:dyDescent="0.3"/>
  <cols>
    <col min="1" max="1" width="45.5546875" customWidth="1"/>
    <col min="2" max="3" width="11.6640625" customWidth="1"/>
  </cols>
  <sheetData>
    <row r="1" spans="1:28" ht="18" x14ac:dyDescent="0.35">
      <c r="A1" s="1" t="s">
        <v>0</v>
      </c>
      <c r="B1" s="1"/>
      <c r="C1" s="1"/>
    </row>
    <row r="3" spans="1:28" ht="15.6" x14ac:dyDescent="0.3">
      <c r="A3" s="2" t="s">
        <v>1</v>
      </c>
      <c r="B3" s="2" t="s">
        <v>32</v>
      </c>
      <c r="C3" s="2" t="s">
        <v>33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</row>
    <row r="4" spans="1:28" ht="16.2" thickBot="1" x14ac:dyDescent="0.35">
      <c r="A4" s="14" t="s">
        <v>27</v>
      </c>
      <c r="B4" s="14"/>
      <c r="C4" s="14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ht="15.6" x14ac:dyDescent="0.3">
      <c r="A5" s="11" t="s">
        <v>28</v>
      </c>
      <c r="B5" s="12">
        <v>287732.40019999992</v>
      </c>
      <c r="C5" s="12">
        <f>+B5/12</f>
        <v>23977.700016666658</v>
      </c>
      <c r="D5" s="13">
        <f>(+'Proyección Asociados y Ahorro'!C11)/1000</f>
        <v>2390.08</v>
      </c>
      <c r="E5" s="13">
        <f>(+'Proyección Asociados y Ahorro'!D11)/1000</f>
        <v>2390.08</v>
      </c>
      <c r="F5" s="13">
        <f>(+'Proyección Asociados y Ahorro'!E11)/1000</f>
        <v>2390.08</v>
      </c>
      <c r="G5" s="13">
        <f>(+'Proyección Asociados y Ahorro'!F11)/1000</f>
        <v>2390.08</v>
      </c>
      <c r="H5" s="13">
        <f>(+'Proyección Asociados y Ahorro'!G11)/1000</f>
        <v>2390.08</v>
      </c>
      <c r="I5" s="13">
        <f>(+'Proyección Asociados y Ahorro'!H11)/1000</f>
        <v>2390.08</v>
      </c>
      <c r="J5" s="13">
        <f>(+'Proyección Asociados y Ahorro'!I11)/1000</f>
        <v>2390.08</v>
      </c>
      <c r="K5" s="13">
        <f>(+'Proyección Asociados y Ahorro'!J11)/1000</f>
        <v>2390.08</v>
      </c>
      <c r="L5" s="13">
        <f>(+'Proyección Asociados y Ahorro'!K11)/1000</f>
        <v>2390.08</v>
      </c>
      <c r="M5" s="13">
        <f>(+'Proyección Asociados y Ahorro'!L11)/1000</f>
        <v>2390.08</v>
      </c>
      <c r="N5" s="13">
        <f>(+'Proyección Asociados y Ahorro'!M11)/1000</f>
        <v>2390.08</v>
      </c>
      <c r="O5" s="13">
        <f>(+'Proyección Asociados y Ahorro'!N11)/1000</f>
        <v>2390.08</v>
      </c>
      <c r="P5" s="13">
        <f>(+'Proyección Asociados y Ahorro'!O11)/1000</f>
        <v>2390.08</v>
      </c>
      <c r="Q5" s="13">
        <f>(+'Proyección Asociados y Ahorro'!P11)/1000</f>
        <v>2390.08</v>
      </c>
      <c r="R5" s="13">
        <f>(+'Proyección Asociados y Ahorro'!Q11)/1000</f>
        <v>2390.08</v>
      </c>
      <c r="S5" s="13">
        <f>(+'Proyección Asociados y Ahorro'!R11)/1000</f>
        <v>2390.08</v>
      </c>
      <c r="T5" s="13">
        <f>(+'Proyección Asociados y Ahorro'!S11)/1000</f>
        <v>2390.08</v>
      </c>
      <c r="U5" s="13">
        <f>(+'Proyección Asociados y Ahorro'!T11)/1000</f>
        <v>2390.08</v>
      </c>
      <c r="V5" s="13">
        <f>(+'Proyección Asociados y Ahorro'!U11)/1000</f>
        <v>2390.08</v>
      </c>
      <c r="W5" s="13">
        <f>(+'Proyección Asociados y Ahorro'!V11)/1000</f>
        <v>2390.08</v>
      </c>
      <c r="X5" s="13">
        <f>(+'Proyección Asociados y Ahorro'!W11)/1000</f>
        <v>2390.08</v>
      </c>
      <c r="Y5" s="13">
        <f>(+'Proyección Asociados y Ahorro'!X11)/1000</f>
        <v>2390.08</v>
      </c>
      <c r="Z5" s="13">
        <f>(+'Proyección Asociados y Ahorro'!Y11)/1000</f>
        <v>2390.08</v>
      </c>
      <c r="AA5" s="13">
        <f>(+'Proyección Asociados y Ahorro'!Z11)/1000</f>
        <v>2390.08</v>
      </c>
      <c r="AB5" s="13">
        <f>SUM(D5:AA5)</f>
        <v>57361.920000000027</v>
      </c>
    </row>
    <row r="6" spans="1:28" ht="15.6" x14ac:dyDescent="0.3">
      <c r="A6" s="7" t="s">
        <v>114</v>
      </c>
      <c r="B6" s="8">
        <v>665141.49566199991</v>
      </c>
      <c r="C6" s="8">
        <f t="shared" ref="C6:C9" si="0">+B6/12</f>
        <v>55428.457971833326</v>
      </c>
      <c r="D6" s="9">
        <f>+C6</f>
        <v>55428.457971833326</v>
      </c>
      <c r="E6" s="9">
        <f t="shared" ref="E6:AA6" si="1">+D6</f>
        <v>55428.457971833326</v>
      </c>
      <c r="F6" s="9">
        <f t="shared" si="1"/>
        <v>55428.457971833326</v>
      </c>
      <c r="G6" s="9">
        <f t="shared" si="1"/>
        <v>55428.457971833326</v>
      </c>
      <c r="H6" s="9">
        <f t="shared" si="1"/>
        <v>55428.457971833326</v>
      </c>
      <c r="I6" s="9">
        <f t="shared" si="1"/>
        <v>55428.457971833326</v>
      </c>
      <c r="J6" s="9">
        <f t="shared" si="1"/>
        <v>55428.457971833326</v>
      </c>
      <c r="K6" s="9">
        <f t="shared" si="1"/>
        <v>55428.457971833326</v>
      </c>
      <c r="L6" s="9">
        <f t="shared" si="1"/>
        <v>55428.457971833326</v>
      </c>
      <c r="M6" s="9">
        <f t="shared" si="1"/>
        <v>55428.457971833326</v>
      </c>
      <c r="N6" s="9">
        <f t="shared" si="1"/>
        <v>55428.457971833326</v>
      </c>
      <c r="O6" s="9">
        <f t="shared" si="1"/>
        <v>55428.457971833326</v>
      </c>
      <c r="P6" s="9">
        <f t="shared" si="1"/>
        <v>55428.457971833326</v>
      </c>
      <c r="Q6" s="9">
        <f t="shared" si="1"/>
        <v>55428.457971833326</v>
      </c>
      <c r="R6" s="9">
        <f t="shared" si="1"/>
        <v>55428.457971833326</v>
      </c>
      <c r="S6" s="9">
        <f t="shared" si="1"/>
        <v>55428.457971833326</v>
      </c>
      <c r="T6" s="9">
        <f t="shared" si="1"/>
        <v>55428.457971833326</v>
      </c>
      <c r="U6" s="9">
        <f t="shared" si="1"/>
        <v>55428.457971833326</v>
      </c>
      <c r="V6" s="9">
        <f t="shared" si="1"/>
        <v>55428.457971833326</v>
      </c>
      <c r="W6" s="9">
        <f t="shared" si="1"/>
        <v>55428.457971833326</v>
      </c>
      <c r="X6" s="9">
        <f t="shared" si="1"/>
        <v>55428.457971833326</v>
      </c>
      <c r="Y6" s="9">
        <f t="shared" si="1"/>
        <v>55428.457971833326</v>
      </c>
      <c r="Z6" s="9">
        <f t="shared" si="1"/>
        <v>55428.457971833326</v>
      </c>
      <c r="AA6" s="9">
        <f t="shared" si="1"/>
        <v>55428.457971833326</v>
      </c>
      <c r="AB6" s="13">
        <f t="shared" ref="AB6:AB10" si="2">SUM(D6:AA6)</f>
        <v>1330282.9913239998</v>
      </c>
    </row>
    <row r="7" spans="1:28" ht="15.6" x14ac:dyDescent="0.3">
      <c r="A7" s="7" t="s">
        <v>115</v>
      </c>
      <c r="B7" s="39"/>
      <c r="C7" s="39"/>
      <c r="D7" s="8">
        <f>+'Proyección Aplicación Fondeo'!B13/1000</f>
        <v>0</v>
      </c>
      <c r="E7" s="8">
        <f>+'Proyección Aplicación Fondeo'!C13/1000</f>
        <v>0</v>
      </c>
      <c r="F7" s="8">
        <f>+'Proyección Aplicación Fondeo'!D13/1000</f>
        <v>0</v>
      </c>
      <c r="G7" s="8">
        <f>+'Proyección Aplicación Fondeo'!E13/1000</f>
        <v>0</v>
      </c>
      <c r="H7" s="8">
        <f>+'Proyección Aplicación Fondeo'!F13/1000</f>
        <v>0</v>
      </c>
      <c r="I7" s="8">
        <f>+'Proyección Aplicación Fondeo'!G13/1000</f>
        <v>0</v>
      </c>
      <c r="J7" s="8">
        <f>+'Proyección Aplicación Fondeo'!H13/1000</f>
        <v>0</v>
      </c>
      <c r="K7" s="8">
        <f>+'Proyección Aplicación Fondeo'!I13/1000</f>
        <v>0</v>
      </c>
      <c r="L7" s="8">
        <f>+'Proyección Aplicación Fondeo'!J13/1000</f>
        <v>0</v>
      </c>
      <c r="M7" s="8">
        <f>+'Proyección Aplicación Fondeo'!K13/1000</f>
        <v>0</v>
      </c>
      <c r="N7" s="8">
        <f>+'Proyección Aplicación Fondeo'!L13/1000</f>
        <v>0</v>
      </c>
      <c r="O7" s="8">
        <f>+'Proyección Aplicación Fondeo'!M13/1000</f>
        <v>0</v>
      </c>
      <c r="P7" s="8" t="e">
        <f>+'Proyección Aplicación Fondeo'!N13/1000</f>
        <v>#DIV/0!</v>
      </c>
      <c r="Q7" s="8" t="e">
        <f>+'Proyección Aplicación Fondeo'!O13/1000</f>
        <v>#DIV/0!</v>
      </c>
      <c r="R7" s="8" t="e">
        <f>+'Proyección Aplicación Fondeo'!P13/1000</f>
        <v>#DIV/0!</v>
      </c>
      <c r="S7" s="8" t="e">
        <f>+'Proyección Aplicación Fondeo'!Q13/1000</f>
        <v>#DIV/0!</v>
      </c>
      <c r="T7" s="8" t="e">
        <f>+'Proyección Aplicación Fondeo'!R13/1000</f>
        <v>#DIV/0!</v>
      </c>
      <c r="U7" s="8" t="e">
        <f>+'Proyección Aplicación Fondeo'!S13/1000</f>
        <v>#DIV/0!</v>
      </c>
      <c r="V7" s="8" t="e">
        <f>+'Proyección Aplicación Fondeo'!T13/1000</f>
        <v>#DIV/0!</v>
      </c>
      <c r="W7" s="8" t="e">
        <f>+'Proyección Aplicación Fondeo'!U13/1000</f>
        <v>#DIV/0!</v>
      </c>
      <c r="X7" s="8" t="e">
        <f>+'Proyección Aplicación Fondeo'!V13/1000</f>
        <v>#DIV/0!</v>
      </c>
      <c r="Y7" s="8" t="e">
        <f>+'Proyección Aplicación Fondeo'!W13/1000</f>
        <v>#DIV/0!</v>
      </c>
      <c r="Z7" s="8" t="e">
        <f>+'Proyección Aplicación Fondeo'!X13/1000</f>
        <v>#DIV/0!</v>
      </c>
      <c r="AA7" s="8" t="e">
        <f>+'Proyección Aplicación Fondeo'!Y13/1000</f>
        <v>#DIV/0!</v>
      </c>
      <c r="AB7" s="13" t="e">
        <f t="shared" si="2"/>
        <v>#DIV/0!</v>
      </c>
    </row>
    <row r="8" spans="1:28" ht="15.6" x14ac:dyDescent="0.3">
      <c r="A8" s="7" t="s">
        <v>30</v>
      </c>
      <c r="B8" s="8">
        <v>144655.82504912</v>
      </c>
      <c r="C8" s="8">
        <f t="shared" si="0"/>
        <v>12054.652087426666</v>
      </c>
      <c r="D8" s="9">
        <f>(C8*('Variables '!$B$44/12))+C8</f>
        <v>12356.018389612333</v>
      </c>
      <c r="E8" s="9">
        <f>(D8*('Variables '!$B$44/12))+D8</f>
        <v>12664.918849352642</v>
      </c>
      <c r="F8" s="9">
        <f>(E8*('Variables '!$B$44/12))+E8</f>
        <v>12981.541820586457</v>
      </c>
      <c r="G8" s="9">
        <f>(F8*('Variables '!$B$44/12))+F8</f>
        <v>13306.080366101118</v>
      </c>
      <c r="H8" s="9">
        <f>(G8*('Variables '!$B$44/12))+G8</f>
        <v>13638.732375253645</v>
      </c>
      <c r="I8" s="9">
        <f>(H8*('Variables '!$B$44/12))+H8</f>
        <v>13979.700684634987</v>
      </c>
      <c r="J8" s="9">
        <f>(I8*('Variables '!$B$44/12))+I8</f>
        <v>14329.193201750861</v>
      </c>
      <c r="K8" s="9">
        <f>(J8*('Variables '!$B$44/12))+J8</f>
        <v>14687.423031794631</v>
      </c>
      <c r="L8" s="9">
        <f>(K8*('Variables '!$B$44/12))+K8</f>
        <v>15054.608607589496</v>
      </c>
      <c r="M8" s="9">
        <f>(L8*('Variables '!$B$44/12))+L8</f>
        <v>15430.973822779233</v>
      </c>
      <c r="N8" s="9">
        <f>(M8*('Variables '!$B$44/12))+M8</f>
        <v>15816.748168348713</v>
      </c>
      <c r="O8" s="9">
        <f>(N8*('Variables '!$B$44/12))+N8</f>
        <v>16212.166872557431</v>
      </c>
      <c r="P8" s="9">
        <f>(O8*('Variables '!$C$44/12))+O8</f>
        <v>16617.471044371367</v>
      </c>
      <c r="Q8" s="9">
        <f>(P8*('Variables '!$C$44/12))+P8</f>
        <v>17032.90782048065</v>
      </c>
      <c r="R8" s="9">
        <f>(Q8*('Variables '!$C$44/12))+Q8</f>
        <v>17458.730515992665</v>
      </c>
      <c r="S8" s="9">
        <f>(R8*('Variables '!$C$44/12))+R8</f>
        <v>17895.198778892482</v>
      </c>
      <c r="T8" s="9">
        <f>(S8*('Variables '!$C$44/12))+S8</f>
        <v>18342.578748364795</v>
      </c>
      <c r="U8" s="9">
        <f>(T8*('Variables '!$C$44/12))+T8</f>
        <v>18801.143217073914</v>
      </c>
      <c r="V8" s="9">
        <f>(U8*('Variables '!$C$44/12))+U8</f>
        <v>19271.17179750076</v>
      </c>
      <c r="W8" s="9">
        <f>(V8*('Variables '!$C$44/12))+V8</f>
        <v>19752.951092438278</v>
      </c>
      <c r="X8" s="9">
        <f>(W8*('Variables '!$C$44/12))+W8</f>
        <v>20246.774869749235</v>
      </c>
      <c r="Y8" s="9">
        <f>(X8*('Variables '!$C$44/12))+X8</f>
        <v>20752.944241492965</v>
      </c>
      <c r="Z8" s="9">
        <f>(Y8*('Variables '!$C$44/12))+Y8</f>
        <v>21271.767847530289</v>
      </c>
      <c r="AA8" s="9">
        <f>(Z8*('Variables '!$C$44/12))+Z8</f>
        <v>21803.562043718546</v>
      </c>
      <c r="AB8" s="13">
        <f t="shared" si="2"/>
        <v>399705.30820796749</v>
      </c>
    </row>
    <row r="9" spans="1:28" ht="16.2" thickBot="1" x14ac:dyDescent="0.35">
      <c r="A9" s="18" t="s">
        <v>31</v>
      </c>
      <c r="B9" s="19">
        <v>19725.794324879997</v>
      </c>
      <c r="C9" s="19">
        <f t="shared" si="0"/>
        <v>1643.8161937399998</v>
      </c>
      <c r="D9" s="17">
        <f>(C9*('Variables '!$B$45/12))+C9</f>
        <v>1684.9115985834999</v>
      </c>
      <c r="E9" s="17">
        <f>(D9*('Variables '!$B$45/12))+D9</f>
        <v>1727.0343885480875</v>
      </c>
      <c r="F9" s="17">
        <f>(E9*('Variables '!$B$45/12))+E9</f>
        <v>1770.2102482617897</v>
      </c>
      <c r="G9" s="17">
        <f>(F9*('Variables '!$B$45/12))+F9</f>
        <v>1814.4655044683345</v>
      </c>
      <c r="H9" s="17">
        <f>(G9*('Variables '!$B$45/12))+G9</f>
        <v>1859.8271420800429</v>
      </c>
      <c r="I9" s="17">
        <f>(H9*('Variables '!$B$45/12))+H9</f>
        <v>1906.3228206320439</v>
      </c>
      <c r="J9" s="17">
        <f>(I9*('Variables '!$B$45/12))+I9</f>
        <v>1953.9808911478449</v>
      </c>
      <c r="K9" s="17">
        <f>(J9*('Variables '!$B$45/12))+J9</f>
        <v>2002.8304134265411</v>
      </c>
      <c r="L9" s="17">
        <f>(K9*('Variables '!$B$45/12))+K9</f>
        <v>2052.9011737622045</v>
      </c>
      <c r="M9" s="17">
        <f>(L9*('Variables '!$B$45/12))+L9</f>
        <v>2104.2237031062596</v>
      </c>
      <c r="N9" s="17">
        <f>(M9*('Variables '!$B$45/12))+M9</f>
        <v>2156.8292956839159</v>
      </c>
      <c r="O9" s="17">
        <f>(N9*('Variables '!$B$45/12))+N9</f>
        <v>2210.7500280760137</v>
      </c>
      <c r="P9" s="17">
        <f>(O9*('Variables '!$C$45/12))+O9</f>
        <v>2266.0187787779141</v>
      </c>
      <c r="Q9" s="17">
        <f>(P9*('Variables '!$C$45/12))+P9</f>
        <v>2322.6692482473618</v>
      </c>
      <c r="R9" s="17">
        <f>(Q9*('Variables '!$C$45/12))+Q9</f>
        <v>2380.735979453546</v>
      </c>
      <c r="S9" s="17">
        <f>(R9*('Variables '!$C$45/12))+R9</f>
        <v>2440.2543789398846</v>
      </c>
      <c r="T9" s="17">
        <f>(S9*('Variables '!$C$45/12))+S9</f>
        <v>2501.2607384133817</v>
      </c>
      <c r="U9" s="17">
        <f>(T9*('Variables '!$C$45/12))+T9</f>
        <v>2563.7922568737163</v>
      </c>
      <c r="V9" s="17">
        <f>(U9*('Variables '!$C$45/12))+U9</f>
        <v>2627.8870632955591</v>
      </c>
      <c r="W9" s="17">
        <f>(V9*('Variables '!$C$45/12))+V9</f>
        <v>2693.5842398779482</v>
      </c>
      <c r="X9" s="17">
        <f>(W9*('Variables '!$C$45/12))+W9</f>
        <v>2760.9238458748969</v>
      </c>
      <c r="Y9" s="17">
        <f>(X9*('Variables '!$C$45/12))+X9</f>
        <v>2829.9469420217692</v>
      </c>
      <c r="Z9" s="17">
        <f>(Y9*('Variables '!$C$45/12))+Y9</f>
        <v>2900.6956155723133</v>
      </c>
      <c r="AA9" s="17">
        <f>(Z9*('Variables '!$C$45/12))+Z9</f>
        <v>2973.2130059616211</v>
      </c>
      <c r="AB9" s="17">
        <f t="shared" si="2"/>
        <v>54505.269301086504</v>
      </c>
    </row>
    <row r="10" spans="1:28" ht="16.2" thickBot="1" x14ac:dyDescent="0.35">
      <c r="A10" s="20" t="s">
        <v>34</v>
      </c>
      <c r="B10" s="21">
        <f>SUM(B5:B9)</f>
        <v>1117255.5152359998</v>
      </c>
      <c r="C10" s="21">
        <f>SUM(C5:C9)</f>
        <v>93104.626269666653</v>
      </c>
      <c r="D10" s="40">
        <f>SUM(D5:D9)</f>
        <v>71859.467960029157</v>
      </c>
      <c r="E10" s="40">
        <f t="shared" ref="E10:AA10" si="3">SUM(E5:E9)</f>
        <v>72210.491209734057</v>
      </c>
      <c r="F10" s="40">
        <f t="shared" si="3"/>
        <v>72570.290040681575</v>
      </c>
      <c r="G10" s="40">
        <f t="shared" si="3"/>
        <v>72939.083842402775</v>
      </c>
      <c r="H10" s="40">
        <f t="shared" si="3"/>
        <v>73317.097489167019</v>
      </c>
      <c r="I10" s="40">
        <f t="shared" si="3"/>
        <v>73704.56147710036</v>
      </c>
      <c r="J10" s="40">
        <f t="shared" si="3"/>
        <v>74101.712064732041</v>
      </c>
      <c r="K10" s="40">
        <f t="shared" si="3"/>
        <v>74508.791417054497</v>
      </c>
      <c r="L10" s="40">
        <f t="shared" si="3"/>
        <v>74926.047753185034</v>
      </c>
      <c r="M10" s="40">
        <f t="shared" si="3"/>
        <v>75353.735497718822</v>
      </c>
      <c r="N10" s="40">
        <f t="shared" si="3"/>
        <v>75792.115435865955</v>
      </c>
      <c r="O10" s="40">
        <f t="shared" si="3"/>
        <v>76241.454872466769</v>
      </c>
      <c r="P10" s="40" t="e">
        <f t="shared" si="3"/>
        <v>#DIV/0!</v>
      </c>
      <c r="Q10" s="40" t="e">
        <f t="shared" si="3"/>
        <v>#DIV/0!</v>
      </c>
      <c r="R10" s="40" t="e">
        <f t="shared" si="3"/>
        <v>#DIV/0!</v>
      </c>
      <c r="S10" s="40" t="e">
        <f t="shared" si="3"/>
        <v>#DIV/0!</v>
      </c>
      <c r="T10" s="40" t="e">
        <f t="shared" si="3"/>
        <v>#DIV/0!</v>
      </c>
      <c r="U10" s="40" t="e">
        <f t="shared" si="3"/>
        <v>#DIV/0!</v>
      </c>
      <c r="V10" s="40" t="e">
        <f t="shared" si="3"/>
        <v>#DIV/0!</v>
      </c>
      <c r="W10" s="40" t="e">
        <f t="shared" si="3"/>
        <v>#DIV/0!</v>
      </c>
      <c r="X10" s="40" t="e">
        <f t="shared" si="3"/>
        <v>#DIV/0!</v>
      </c>
      <c r="Y10" s="40" t="e">
        <f t="shared" si="3"/>
        <v>#DIV/0!</v>
      </c>
      <c r="Z10" s="40" t="e">
        <f t="shared" si="3"/>
        <v>#DIV/0!</v>
      </c>
      <c r="AA10" s="40" t="e">
        <f t="shared" si="3"/>
        <v>#DIV/0!</v>
      </c>
      <c r="AB10" s="46" t="e">
        <f t="shared" si="2"/>
        <v>#DIV/0!</v>
      </c>
    </row>
    <row r="11" spans="1:28" ht="15.6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6.2" thickBot="1" x14ac:dyDescent="0.35">
      <c r="A12" s="24" t="s">
        <v>35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5.6" x14ac:dyDescent="0.3">
      <c r="A13" s="23" t="s">
        <v>36</v>
      </c>
      <c r="B13" s="13">
        <v>3996.2323799999995</v>
      </c>
      <c r="C13" s="12">
        <f t="shared" ref="C13:C42" si="4">+B13/12</f>
        <v>333.01936499999994</v>
      </c>
      <c r="D13" s="13">
        <f>+C13+(C13*'Variables '!$B$5)</f>
        <v>333.01936499999994</v>
      </c>
      <c r="E13" s="13">
        <f>+D13</f>
        <v>333.01936499999994</v>
      </c>
      <c r="F13" s="13">
        <f t="shared" ref="F13:O13" si="5">+E13</f>
        <v>333.01936499999994</v>
      </c>
      <c r="G13" s="13">
        <f t="shared" si="5"/>
        <v>333.01936499999994</v>
      </c>
      <c r="H13" s="13">
        <f t="shared" si="5"/>
        <v>333.01936499999994</v>
      </c>
      <c r="I13" s="13">
        <f t="shared" si="5"/>
        <v>333.01936499999994</v>
      </c>
      <c r="J13" s="13">
        <f t="shared" si="5"/>
        <v>333.01936499999994</v>
      </c>
      <c r="K13" s="13">
        <f t="shared" si="5"/>
        <v>333.01936499999994</v>
      </c>
      <c r="L13" s="13">
        <f t="shared" si="5"/>
        <v>333.01936499999994</v>
      </c>
      <c r="M13" s="13">
        <f t="shared" si="5"/>
        <v>333.01936499999994</v>
      </c>
      <c r="N13" s="13">
        <f t="shared" si="5"/>
        <v>333.01936499999994</v>
      </c>
      <c r="O13" s="13">
        <f t="shared" si="5"/>
        <v>333.01936499999994</v>
      </c>
      <c r="P13" s="13">
        <f>+O13+(O13*'Variables '!$C$5)</f>
        <v>333.01936499999994</v>
      </c>
      <c r="Q13" s="13">
        <f>+P13</f>
        <v>333.01936499999994</v>
      </c>
      <c r="R13" s="13">
        <f t="shared" ref="R13:AA13" si="6">+Q13</f>
        <v>333.01936499999994</v>
      </c>
      <c r="S13" s="13">
        <f t="shared" si="6"/>
        <v>333.01936499999994</v>
      </c>
      <c r="T13" s="13">
        <f t="shared" si="6"/>
        <v>333.01936499999994</v>
      </c>
      <c r="U13" s="13">
        <f t="shared" si="6"/>
        <v>333.01936499999994</v>
      </c>
      <c r="V13" s="13">
        <f t="shared" si="6"/>
        <v>333.01936499999994</v>
      </c>
      <c r="W13" s="13">
        <f t="shared" si="6"/>
        <v>333.01936499999994</v>
      </c>
      <c r="X13" s="13">
        <f t="shared" si="6"/>
        <v>333.01936499999994</v>
      </c>
      <c r="Y13" s="13">
        <f t="shared" si="6"/>
        <v>333.01936499999994</v>
      </c>
      <c r="Z13" s="13">
        <f t="shared" si="6"/>
        <v>333.01936499999994</v>
      </c>
      <c r="AA13" s="13">
        <f t="shared" si="6"/>
        <v>333.01936499999994</v>
      </c>
      <c r="AB13" s="13">
        <f t="shared" ref="AB13:AB43" si="7">SUM(D13:AA13)</f>
        <v>7992.4647600000008</v>
      </c>
    </row>
    <row r="14" spans="1:28" ht="15.6" x14ac:dyDescent="0.3">
      <c r="A14" s="51" t="s">
        <v>37</v>
      </c>
      <c r="B14" s="9">
        <v>162000</v>
      </c>
      <c r="C14" s="8">
        <f t="shared" si="4"/>
        <v>13500</v>
      </c>
      <c r="D14" s="9">
        <f>(C14+(C14*'Variables '!$B$53))*(1+'Variables '!$B$5)</f>
        <v>13500</v>
      </c>
      <c r="E14" s="9">
        <f>+D14</f>
        <v>13500</v>
      </c>
      <c r="F14" s="9">
        <f t="shared" ref="F14:O14" si="8">+E14</f>
        <v>13500</v>
      </c>
      <c r="G14" s="9">
        <f t="shared" si="8"/>
        <v>13500</v>
      </c>
      <c r="H14" s="9">
        <f t="shared" si="8"/>
        <v>13500</v>
      </c>
      <c r="I14" s="9">
        <f t="shared" si="8"/>
        <v>13500</v>
      </c>
      <c r="J14" s="9">
        <f t="shared" si="8"/>
        <v>13500</v>
      </c>
      <c r="K14" s="9">
        <f t="shared" si="8"/>
        <v>13500</v>
      </c>
      <c r="L14" s="9">
        <f t="shared" si="8"/>
        <v>13500</v>
      </c>
      <c r="M14" s="9">
        <f t="shared" si="8"/>
        <v>13500</v>
      </c>
      <c r="N14" s="9">
        <f t="shared" si="8"/>
        <v>13500</v>
      </c>
      <c r="O14" s="9">
        <f t="shared" si="8"/>
        <v>13500</v>
      </c>
      <c r="P14" s="9">
        <f>(O14+(O14*'Variables '!$C$53))*(1+'Variables '!$C$5)</f>
        <v>13500</v>
      </c>
      <c r="Q14" s="9">
        <f>+P14</f>
        <v>13500</v>
      </c>
      <c r="R14" s="9">
        <f t="shared" ref="R14:AA14" si="9">+Q14</f>
        <v>13500</v>
      </c>
      <c r="S14" s="9">
        <f t="shared" si="9"/>
        <v>13500</v>
      </c>
      <c r="T14" s="9">
        <f t="shared" si="9"/>
        <v>13500</v>
      </c>
      <c r="U14" s="9">
        <f t="shared" si="9"/>
        <v>13500</v>
      </c>
      <c r="V14" s="9">
        <f t="shared" si="9"/>
        <v>13500</v>
      </c>
      <c r="W14" s="9">
        <f t="shared" si="9"/>
        <v>13500</v>
      </c>
      <c r="X14" s="9">
        <f t="shared" si="9"/>
        <v>13500</v>
      </c>
      <c r="Y14" s="9">
        <f t="shared" si="9"/>
        <v>13500</v>
      </c>
      <c r="Z14" s="9">
        <f t="shared" si="9"/>
        <v>13500</v>
      </c>
      <c r="AA14" s="9">
        <f t="shared" si="9"/>
        <v>13500</v>
      </c>
      <c r="AB14" s="13">
        <f t="shared" si="7"/>
        <v>324000</v>
      </c>
    </row>
    <row r="15" spans="1:28" ht="15.6" x14ac:dyDescent="0.3">
      <c r="A15" s="10" t="s">
        <v>38</v>
      </c>
      <c r="B15" s="9">
        <v>13400</v>
      </c>
      <c r="C15" s="8">
        <f t="shared" si="4"/>
        <v>1116.6666666666667</v>
      </c>
      <c r="D15" s="13">
        <f>+C15+(C15*'Variables '!$B$5)</f>
        <v>1116.6666666666667</v>
      </c>
      <c r="E15" s="13">
        <f t="shared" ref="E15:O15" si="10">+D15</f>
        <v>1116.6666666666667</v>
      </c>
      <c r="F15" s="13">
        <f t="shared" si="10"/>
        <v>1116.6666666666667</v>
      </c>
      <c r="G15" s="13">
        <f t="shared" si="10"/>
        <v>1116.6666666666667</v>
      </c>
      <c r="H15" s="13">
        <f t="shared" si="10"/>
        <v>1116.6666666666667</v>
      </c>
      <c r="I15" s="13">
        <f t="shared" si="10"/>
        <v>1116.6666666666667</v>
      </c>
      <c r="J15" s="13">
        <f t="shared" si="10"/>
        <v>1116.6666666666667</v>
      </c>
      <c r="K15" s="13">
        <f t="shared" si="10"/>
        <v>1116.6666666666667</v>
      </c>
      <c r="L15" s="13">
        <f t="shared" si="10"/>
        <v>1116.6666666666667</v>
      </c>
      <c r="M15" s="13">
        <f t="shared" si="10"/>
        <v>1116.6666666666667</v>
      </c>
      <c r="N15" s="13">
        <f t="shared" si="10"/>
        <v>1116.6666666666667</v>
      </c>
      <c r="O15" s="13">
        <f t="shared" si="10"/>
        <v>1116.6666666666667</v>
      </c>
      <c r="P15" s="13">
        <f>+O15+(O15*'Variables '!$C$5)</f>
        <v>1116.6666666666667</v>
      </c>
      <c r="Q15" s="13">
        <f t="shared" ref="Q15:AA15" si="11">+P15</f>
        <v>1116.6666666666667</v>
      </c>
      <c r="R15" s="13">
        <f t="shared" si="11"/>
        <v>1116.6666666666667</v>
      </c>
      <c r="S15" s="13">
        <f t="shared" si="11"/>
        <v>1116.6666666666667</v>
      </c>
      <c r="T15" s="13">
        <f t="shared" si="11"/>
        <v>1116.6666666666667</v>
      </c>
      <c r="U15" s="13">
        <f t="shared" si="11"/>
        <v>1116.6666666666667</v>
      </c>
      <c r="V15" s="13">
        <f t="shared" si="11"/>
        <v>1116.6666666666667</v>
      </c>
      <c r="W15" s="13">
        <f t="shared" si="11"/>
        <v>1116.6666666666667</v>
      </c>
      <c r="X15" s="13">
        <f t="shared" si="11"/>
        <v>1116.6666666666667</v>
      </c>
      <c r="Y15" s="13">
        <f t="shared" si="11"/>
        <v>1116.6666666666667</v>
      </c>
      <c r="Z15" s="13">
        <f t="shared" si="11"/>
        <v>1116.6666666666667</v>
      </c>
      <c r="AA15" s="13">
        <f t="shared" si="11"/>
        <v>1116.6666666666667</v>
      </c>
      <c r="AB15" s="13">
        <f t="shared" si="7"/>
        <v>26800.000000000007</v>
      </c>
    </row>
    <row r="16" spans="1:28" ht="15.6" x14ac:dyDescent="0.3">
      <c r="A16" s="10" t="s">
        <v>39</v>
      </c>
      <c r="B16" s="9">
        <v>631.81677999999988</v>
      </c>
      <c r="C16" s="8">
        <f t="shared" si="4"/>
        <v>52.651398333333326</v>
      </c>
      <c r="D16" s="13">
        <f>+C16+(C16*'Variables '!$B$5)</f>
        <v>52.651398333333326</v>
      </c>
      <c r="E16" s="13">
        <f t="shared" ref="E16:O16" si="12">+D16</f>
        <v>52.651398333333326</v>
      </c>
      <c r="F16" s="13">
        <f t="shared" si="12"/>
        <v>52.651398333333326</v>
      </c>
      <c r="G16" s="13">
        <f t="shared" si="12"/>
        <v>52.651398333333326</v>
      </c>
      <c r="H16" s="13">
        <f t="shared" si="12"/>
        <v>52.651398333333326</v>
      </c>
      <c r="I16" s="13">
        <f t="shared" si="12"/>
        <v>52.651398333333326</v>
      </c>
      <c r="J16" s="13">
        <f t="shared" si="12"/>
        <v>52.651398333333326</v>
      </c>
      <c r="K16" s="13">
        <f t="shared" si="12"/>
        <v>52.651398333333326</v>
      </c>
      <c r="L16" s="13">
        <f t="shared" si="12"/>
        <v>52.651398333333326</v>
      </c>
      <c r="M16" s="13">
        <f t="shared" si="12"/>
        <v>52.651398333333326</v>
      </c>
      <c r="N16" s="13">
        <f t="shared" si="12"/>
        <v>52.651398333333326</v>
      </c>
      <c r="O16" s="13">
        <f t="shared" si="12"/>
        <v>52.651398333333326</v>
      </c>
      <c r="P16" s="13">
        <f>+O16+(O16*'Variables '!$C$5)</f>
        <v>52.651398333333326</v>
      </c>
      <c r="Q16" s="13">
        <f t="shared" ref="Q16:AA16" si="13">+P16</f>
        <v>52.651398333333326</v>
      </c>
      <c r="R16" s="13">
        <f t="shared" si="13"/>
        <v>52.651398333333326</v>
      </c>
      <c r="S16" s="13">
        <f t="shared" si="13"/>
        <v>52.651398333333326</v>
      </c>
      <c r="T16" s="13">
        <f t="shared" si="13"/>
        <v>52.651398333333326</v>
      </c>
      <c r="U16" s="13">
        <f t="shared" si="13"/>
        <v>52.651398333333326</v>
      </c>
      <c r="V16" s="13">
        <f t="shared" si="13"/>
        <v>52.651398333333326</v>
      </c>
      <c r="W16" s="13">
        <f t="shared" si="13"/>
        <v>52.651398333333326</v>
      </c>
      <c r="X16" s="13">
        <f t="shared" si="13"/>
        <v>52.651398333333326</v>
      </c>
      <c r="Y16" s="13">
        <f t="shared" si="13"/>
        <v>52.651398333333326</v>
      </c>
      <c r="Z16" s="13">
        <f t="shared" si="13"/>
        <v>52.651398333333326</v>
      </c>
      <c r="AA16" s="13">
        <f t="shared" si="13"/>
        <v>52.651398333333326</v>
      </c>
      <c r="AB16" s="13">
        <f t="shared" si="7"/>
        <v>1263.63356</v>
      </c>
    </row>
    <row r="17" spans="1:28" ht="15.6" x14ac:dyDescent="0.3">
      <c r="A17" s="10" t="s">
        <v>40</v>
      </c>
      <c r="B17" s="9">
        <v>2500</v>
      </c>
      <c r="C17" s="8">
        <f t="shared" si="4"/>
        <v>208.33333333333334</v>
      </c>
      <c r="D17" s="13">
        <f>+C17+(C17*'Variables '!$B$5)</f>
        <v>208.33333333333334</v>
      </c>
      <c r="E17" s="13">
        <f t="shared" ref="E17:O17" si="14">+D17</f>
        <v>208.33333333333334</v>
      </c>
      <c r="F17" s="13">
        <f t="shared" si="14"/>
        <v>208.33333333333334</v>
      </c>
      <c r="G17" s="13">
        <f t="shared" si="14"/>
        <v>208.33333333333334</v>
      </c>
      <c r="H17" s="13">
        <f t="shared" si="14"/>
        <v>208.33333333333334</v>
      </c>
      <c r="I17" s="13">
        <f t="shared" si="14"/>
        <v>208.33333333333334</v>
      </c>
      <c r="J17" s="13">
        <f t="shared" si="14"/>
        <v>208.33333333333334</v>
      </c>
      <c r="K17" s="13">
        <f t="shared" si="14"/>
        <v>208.33333333333334</v>
      </c>
      <c r="L17" s="13">
        <f t="shared" si="14"/>
        <v>208.33333333333334</v>
      </c>
      <c r="M17" s="13">
        <f t="shared" si="14"/>
        <v>208.33333333333334</v>
      </c>
      <c r="N17" s="13">
        <f t="shared" si="14"/>
        <v>208.33333333333334</v>
      </c>
      <c r="O17" s="13">
        <f t="shared" si="14"/>
        <v>208.33333333333334</v>
      </c>
      <c r="P17" s="13">
        <f>+O17+(O17*'Variables '!$C$5)</f>
        <v>208.33333333333334</v>
      </c>
      <c r="Q17" s="13">
        <f t="shared" ref="Q17:AA17" si="15">+P17</f>
        <v>208.33333333333334</v>
      </c>
      <c r="R17" s="13">
        <f t="shared" si="15"/>
        <v>208.33333333333334</v>
      </c>
      <c r="S17" s="13">
        <f t="shared" si="15"/>
        <v>208.33333333333334</v>
      </c>
      <c r="T17" s="13">
        <f t="shared" si="15"/>
        <v>208.33333333333334</v>
      </c>
      <c r="U17" s="13">
        <f t="shared" si="15"/>
        <v>208.33333333333334</v>
      </c>
      <c r="V17" s="13">
        <f t="shared" si="15"/>
        <v>208.33333333333334</v>
      </c>
      <c r="W17" s="13">
        <f t="shared" si="15"/>
        <v>208.33333333333334</v>
      </c>
      <c r="X17" s="13">
        <f t="shared" si="15"/>
        <v>208.33333333333334</v>
      </c>
      <c r="Y17" s="13">
        <f t="shared" si="15"/>
        <v>208.33333333333334</v>
      </c>
      <c r="Z17" s="13">
        <f t="shared" si="15"/>
        <v>208.33333333333334</v>
      </c>
      <c r="AA17" s="13">
        <f t="shared" si="15"/>
        <v>208.33333333333334</v>
      </c>
      <c r="AB17" s="13">
        <f t="shared" si="7"/>
        <v>5000</v>
      </c>
    </row>
    <row r="18" spans="1:28" ht="15.6" x14ac:dyDescent="0.3">
      <c r="A18" s="10" t="s">
        <v>41</v>
      </c>
      <c r="B18" s="9">
        <v>46876.293729999998</v>
      </c>
      <c r="C18" s="8">
        <f t="shared" si="4"/>
        <v>3906.3578108333331</v>
      </c>
      <c r="D18" s="13">
        <f>+C18+(C18*'Variables '!$B$5)</f>
        <v>3906.3578108333331</v>
      </c>
      <c r="E18" s="13">
        <f t="shared" ref="E18:O18" si="16">+D18</f>
        <v>3906.3578108333331</v>
      </c>
      <c r="F18" s="13">
        <f t="shared" si="16"/>
        <v>3906.3578108333331</v>
      </c>
      <c r="G18" s="13">
        <f t="shared" si="16"/>
        <v>3906.3578108333331</v>
      </c>
      <c r="H18" s="13">
        <f t="shared" si="16"/>
        <v>3906.3578108333331</v>
      </c>
      <c r="I18" s="13">
        <f t="shared" si="16"/>
        <v>3906.3578108333331</v>
      </c>
      <c r="J18" s="13">
        <f t="shared" si="16"/>
        <v>3906.3578108333331</v>
      </c>
      <c r="K18" s="13">
        <f t="shared" si="16"/>
        <v>3906.3578108333331</v>
      </c>
      <c r="L18" s="13">
        <f t="shared" si="16"/>
        <v>3906.3578108333331</v>
      </c>
      <c r="M18" s="13">
        <f t="shared" si="16"/>
        <v>3906.3578108333331</v>
      </c>
      <c r="N18" s="13">
        <f t="shared" si="16"/>
        <v>3906.3578108333331</v>
      </c>
      <c r="O18" s="13">
        <f t="shared" si="16"/>
        <v>3906.3578108333331</v>
      </c>
      <c r="P18" s="13">
        <f>+O18+(O18*'Variables '!$C$5)</f>
        <v>3906.3578108333331</v>
      </c>
      <c r="Q18" s="13">
        <f t="shared" ref="Q18:AA18" si="17">+P18</f>
        <v>3906.3578108333331</v>
      </c>
      <c r="R18" s="13">
        <f t="shared" si="17"/>
        <v>3906.3578108333331</v>
      </c>
      <c r="S18" s="13">
        <f t="shared" si="17"/>
        <v>3906.3578108333331</v>
      </c>
      <c r="T18" s="13">
        <f t="shared" si="17"/>
        <v>3906.3578108333331</v>
      </c>
      <c r="U18" s="13">
        <f t="shared" si="17"/>
        <v>3906.3578108333331</v>
      </c>
      <c r="V18" s="13">
        <f t="shared" si="17"/>
        <v>3906.3578108333331</v>
      </c>
      <c r="W18" s="13">
        <f t="shared" si="17"/>
        <v>3906.3578108333331</v>
      </c>
      <c r="X18" s="13">
        <f t="shared" si="17"/>
        <v>3906.3578108333331</v>
      </c>
      <c r="Y18" s="13">
        <f t="shared" si="17"/>
        <v>3906.3578108333331</v>
      </c>
      <c r="Z18" s="13">
        <f t="shared" si="17"/>
        <v>3906.3578108333331</v>
      </c>
      <c r="AA18" s="13">
        <f t="shared" si="17"/>
        <v>3906.3578108333331</v>
      </c>
      <c r="AB18" s="13">
        <f t="shared" si="7"/>
        <v>93752.587459999966</v>
      </c>
    </row>
    <row r="19" spans="1:28" ht="15.6" x14ac:dyDescent="0.3">
      <c r="A19" s="10" t="s">
        <v>42</v>
      </c>
      <c r="B19" s="9">
        <v>2193.0463799999998</v>
      </c>
      <c r="C19" s="8">
        <f t="shared" si="4"/>
        <v>182.75386499999999</v>
      </c>
      <c r="D19" s="13">
        <f>+C19+(C19*'Variables '!$B$5)</f>
        <v>182.75386499999999</v>
      </c>
      <c r="E19" s="13">
        <f t="shared" ref="E19:O19" si="18">+D19</f>
        <v>182.75386499999999</v>
      </c>
      <c r="F19" s="13">
        <f t="shared" si="18"/>
        <v>182.75386499999999</v>
      </c>
      <c r="G19" s="13">
        <f t="shared" si="18"/>
        <v>182.75386499999999</v>
      </c>
      <c r="H19" s="13">
        <f t="shared" si="18"/>
        <v>182.75386499999999</v>
      </c>
      <c r="I19" s="13">
        <f t="shared" si="18"/>
        <v>182.75386499999999</v>
      </c>
      <c r="J19" s="13">
        <f t="shared" si="18"/>
        <v>182.75386499999999</v>
      </c>
      <c r="K19" s="13">
        <f t="shared" si="18"/>
        <v>182.75386499999999</v>
      </c>
      <c r="L19" s="13">
        <f t="shared" si="18"/>
        <v>182.75386499999999</v>
      </c>
      <c r="M19" s="13">
        <f t="shared" si="18"/>
        <v>182.75386499999999</v>
      </c>
      <c r="N19" s="13">
        <f t="shared" si="18"/>
        <v>182.75386499999999</v>
      </c>
      <c r="O19" s="13">
        <f t="shared" si="18"/>
        <v>182.75386499999999</v>
      </c>
      <c r="P19" s="13">
        <f>+O19+(O19*'Variables '!$C$5)</f>
        <v>182.75386499999999</v>
      </c>
      <c r="Q19" s="13">
        <f t="shared" ref="Q19:AA19" si="19">+P19</f>
        <v>182.75386499999999</v>
      </c>
      <c r="R19" s="13">
        <f t="shared" si="19"/>
        <v>182.75386499999999</v>
      </c>
      <c r="S19" s="13">
        <f t="shared" si="19"/>
        <v>182.75386499999999</v>
      </c>
      <c r="T19" s="13">
        <f t="shared" si="19"/>
        <v>182.75386499999999</v>
      </c>
      <c r="U19" s="13">
        <f t="shared" si="19"/>
        <v>182.75386499999999</v>
      </c>
      <c r="V19" s="13">
        <f t="shared" si="19"/>
        <v>182.75386499999999</v>
      </c>
      <c r="W19" s="13">
        <f t="shared" si="19"/>
        <v>182.75386499999999</v>
      </c>
      <c r="X19" s="13">
        <f t="shared" si="19"/>
        <v>182.75386499999999</v>
      </c>
      <c r="Y19" s="13">
        <f t="shared" si="19"/>
        <v>182.75386499999999</v>
      </c>
      <c r="Z19" s="13">
        <f t="shared" si="19"/>
        <v>182.75386499999999</v>
      </c>
      <c r="AA19" s="13">
        <f t="shared" si="19"/>
        <v>182.75386499999999</v>
      </c>
      <c r="AB19" s="13">
        <f t="shared" si="7"/>
        <v>4386.0927600000005</v>
      </c>
    </row>
    <row r="20" spans="1:28" ht="15.6" x14ac:dyDescent="0.3">
      <c r="A20" s="10" t="s">
        <v>43</v>
      </c>
      <c r="B20" s="9">
        <v>34000</v>
      </c>
      <c r="C20" s="8">
        <f t="shared" si="4"/>
        <v>2833.3333333333335</v>
      </c>
      <c r="D20" s="13">
        <f>+C20+(C20*'Variables '!$B$5)</f>
        <v>2833.3333333333335</v>
      </c>
      <c r="E20" s="13">
        <f t="shared" ref="E20:O20" si="20">+D20</f>
        <v>2833.3333333333335</v>
      </c>
      <c r="F20" s="13">
        <f t="shared" si="20"/>
        <v>2833.3333333333335</v>
      </c>
      <c r="G20" s="13">
        <f t="shared" si="20"/>
        <v>2833.3333333333335</v>
      </c>
      <c r="H20" s="13">
        <f t="shared" si="20"/>
        <v>2833.3333333333335</v>
      </c>
      <c r="I20" s="13">
        <f t="shared" si="20"/>
        <v>2833.3333333333335</v>
      </c>
      <c r="J20" s="13">
        <f t="shared" si="20"/>
        <v>2833.3333333333335</v>
      </c>
      <c r="K20" s="13">
        <f t="shared" si="20"/>
        <v>2833.3333333333335</v>
      </c>
      <c r="L20" s="13">
        <f t="shared" si="20"/>
        <v>2833.3333333333335</v>
      </c>
      <c r="M20" s="13">
        <f t="shared" si="20"/>
        <v>2833.3333333333335</v>
      </c>
      <c r="N20" s="13">
        <f t="shared" si="20"/>
        <v>2833.3333333333335</v>
      </c>
      <c r="O20" s="13">
        <f t="shared" si="20"/>
        <v>2833.3333333333335</v>
      </c>
      <c r="P20" s="13">
        <f>+O20+(O20*'Variables '!$C$5)</f>
        <v>2833.3333333333335</v>
      </c>
      <c r="Q20" s="13">
        <f t="shared" ref="Q20:AA20" si="21">+P20</f>
        <v>2833.3333333333335</v>
      </c>
      <c r="R20" s="13">
        <f t="shared" si="21"/>
        <v>2833.3333333333335</v>
      </c>
      <c r="S20" s="13">
        <f t="shared" si="21"/>
        <v>2833.3333333333335</v>
      </c>
      <c r="T20" s="13">
        <f t="shared" si="21"/>
        <v>2833.3333333333335</v>
      </c>
      <c r="U20" s="13">
        <f t="shared" si="21"/>
        <v>2833.3333333333335</v>
      </c>
      <c r="V20" s="13">
        <f t="shared" si="21"/>
        <v>2833.3333333333335</v>
      </c>
      <c r="W20" s="13">
        <f t="shared" si="21"/>
        <v>2833.3333333333335</v>
      </c>
      <c r="X20" s="13">
        <f t="shared" si="21"/>
        <v>2833.3333333333335</v>
      </c>
      <c r="Y20" s="13">
        <f t="shared" si="21"/>
        <v>2833.3333333333335</v>
      </c>
      <c r="Z20" s="13">
        <f t="shared" si="21"/>
        <v>2833.3333333333335</v>
      </c>
      <c r="AA20" s="13">
        <f t="shared" si="21"/>
        <v>2833.3333333333335</v>
      </c>
      <c r="AB20" s="13">
        <f t="shared" si="7"/>
        <v>68000.000000000015</v>
      </c>
    </row>
    <row r="21" spans="1:28" ht="15.6" x14ac:dyDescent="0.3">
      <c r="A21" s="10" t="s">
        <v>44</v>
      </c>
      <c r="B21" s="9">
        <v>22203.046249999999</v>
      </c>
      <c r="C21" s="8">
        <f t="shared" si="4"/>
        <v>1850.2538541666665</v>
      </c>
      <c r="D21" s="13">
        <f>+C21+(C21*'Variables '!$B$5)</f>
        <v>1850.2538541666665</v>
      </c>
      <c r="E21" s="13">
        <f t="shared" ref="E21:O21" si="22">+D21</f>
        <v>1850.2538541666665</v>
      </c>
      <c r="F21" s="13">
        <f t="shared" si="22"/>
        <v>1850.2538541666665</v>
      </c>
      <c r="G21" s="13">
        <f t="shared" si="22"/>
        <v>1850.2538541666665</v>
      </c>
      <c r="H21" s="13">
        <f t="shared" si="22"/>
        <v>1850.2538541666665</v>
      </c>
      <c r="I21" s="13">
        <f t="shared" si="22"/>
        <v>1850.2538541666665</v>
      </c>
      <c r="J21" s="13">
        <f t="shared" si="22"/>
        <v>1850.2538541666665</v>
      </c>
      <c r="K21" s="13">
        <f t="shared" si="22"/>
        <v>1850.2538541666665</v>
      </c>
      <c r="L21" s="13">
        <f t="shared" si="22"/>
        <v>1850.2538541666665</v>
      </c>
      <c r="M21" s="13">
        <f t="shared" si="22"/>
        <v>1850.2538541666665</v>
      </c>
      <c r="N21" s="13">
        <f t="shared" si="22"/>
        <v>1850.2538541666665</v>
      </c>
      <c r="O21" s="13">
        <f t="shared" si="22"/>
        <v>1850.2538541666665</v>
      </c>
      <c r="P21" s="13">
        <f>+O21+(O21*'Variables '!$C$5)</f>
        <v>1850.2538541666665</v>
      </c>
      <c r="Q21" s="13">
        <f t="shared" ref="Q21:AA21" si="23">+P21</f>
        <v>1850.2538541666665</v>
      </c>
      <c r="R21" s="13">
        <f t="shared" si="23"/>
        <v>1850.2538541666665</v>
      </c>
      <c r="S21" s="13">
        <f t="shared" si="23"/>
        <v>1850.2538541666665</v>
      </c>
      <c r="T21" s="13">
        <f t="shared" si="23"/>
        <v>1850.2538541666665</v>
      </c>
      <c r="U21" s="13">
        <f t="shared" si="23"/>
        <v>1850.2538541666665</v>
      </c>
      <c r="V21" s="13">
        <f t="shared" si="23"/>
        <v>1850.2538541666665</v>
      </c>
      <c r="W21" s="13">
        <f t="shared" si="23"/>
        <v>1850.2538541666665</v>
      </c>
      <c r="X21" s="13">
        <f t="shared" si="23"/>
        <v>1850.2538541666665</v>
      </c>
      <c r="Y21" s="13">
        <f t="shared" si="23"/>
        <v>1850.2538541666665</v>
      </c>
      <c r="Z21" s="13">
        <f t="shared" si="23"/>
        <v>1850.2538541666665</v>
      </c>
      <c r="AA21" s="13">
        <f t="shared" si="23"/>
        <v>1850.2538541666665</v>
      </c>
      <c r="AB21" s="13">
        <f t="shared" si="7"/>
        <v>44406.092499999984</v>
      </c>
    </row>
    <row r="22" spans="1:28" ht="15.6" x14ac:dyDescent="0.3">
      <c r="A22" s="10" t="s">
        <v>45</v>
      </c>
      <c r="B22" s="9">
        <v>2954.971039999999</v>
      </c>
      <c r="C22" s="8">
        <f t="shared" si="4"/>
        <v>246.24758666666659</v>
      </c>
      <c r="D22" s="13">
        <f>+C22+(C22*'Variables '!$B$5)</f>
        <v>246.24758666666659</v>
      </c>
      <c r="E22" s="13">
        <f t="shared" ref="E22:O22" si="24">+D22</f>
        <v>246.24758666666659</v>
      </c>
      <c r="F22" s="13">
        <f t="shared" si="24"/>
        <v>246.24758666666659</v>
      </c>
      <c r="G22" s="13">
        <f t="shared" si="24"/>
        <v>246.24758666666659</v>
      </c>
      <c r="H22" s="13">
        <f t="shared" si="24"/>
        <v>246.24758666666659</v>
      </c>
      <c r="I22" s="13">
        <f t="shared" si="24"/>
        <v>246.24758666666659</v>
      </c>
      <c r="J22" s="13">
        <f t="shared" si="24"/>
        <v>246.24758666666659</v>
      </c>
      <c r="K22" s="13">
        <f t="shared" si="24"/>
        <v>246.24758666666659</v>
      </c>
      <c r="L22" s="13">
        <f t="shared" si="24"/>
        <v>246.24758666666659</v>
      </c>
      <c r="M22" s="13">
        <f t="shared" si="24"/>
        <v>246.24758666666659</v>
      </c>
      <c r="N22" s="13">
        <f t="shared" si="24"/>
        <v>246.24758666666659</v>
      </c>
      <c r="O22" s="13">
        <f t="shared" si="24"/>
        <v>246.24758666666659</v>
      </c>
      <c r="P22" s="13">
        <f>+O22+(O22*'Variables '!$C$5)</f>
        <v>246.24758666666659</v>
      </c>
      <c r="Q22" s="13">
        <f t="shared" ref="Q22:AA22" si="25">+P22</f>
        <v>246.24758666666659</v>
      </c>
      <c r="R22" s="13">
        <f t="shared" si="25"/>
        <v>246.24758666666659</v>
      </c>
      <c r="S22" s="13">
        <f t="shared" si="25"/>
        <v>246.24758666666659</v>
      </c>
      <c r="T22" s="13">
        <f t="shared" si="25"/>
        <v>246.24758666666659</v>
      </c>
      <c r="U22" s="13">
        <f t="shared" si="25"/>
        <v>246.24758666666659</v>
      </c>
      <c r="V22" s="13">
        <f t="shared" si="25"/>
        <v>246.24758666666659</v>
      </c>
      <c r="W22" s="13">
        <f t="shared" si="25"/>
        <v>246.24758666666659</v>
      </c>
      <c r="X22" s="13">
        <f t="shared" si="25"/>
        <v>246.24758666666659</v>
      </c>
      <c r="Y22" s="13">
        <f t="shared" si="25"/>
        <v>246.24758666666659</v>
      </c>
      <c r="Z22" s="13">
        <f t="shared" si="25"/>
        <v>246.24758666666659</v>
      </c>
      <c r="AA22" s="13">
        <f t="shared" si="25"/>
        <v>246.24758666666659</v>
      </c>
      <c r="AB22" s="13">
        <f t="shared" si="7"/>
        <v>5909.9420799999953</v>
      </c>
    </row>
    <row r="23" spans="1:28" ht="15.6" x14ac:dyDescent="0.3">
      <c r="A23" s="10" t="s">
        <v>46</v>
      </c>
      <c r="B23" s="9">
        <v>25630.185209999996</v>
      </c>
      <c r="C23" s="8">
        <f t="shared" si="4"/>
        <v>2135.8487674999997</v>
      </c>
      <c r="D23" s="13">
        <f>+C23+(C23*'Variables '!$B$5)</f>
        <v>2135.8487674999997</v>
      </c>
      <c r="E23" s="13">
        <f t="shared" ref="E23:O23" si="26">+D23</f>
        <v>2135.8487674999997</v>
      </c>
      <c r="F23" s="13">
        <f t="shared" si="26"/>
        <v>2135.8487674999997</v>
      </c>
      <c r="G23" s="13">
        <f t="shared" si="26"/>
        <v>2135.8487674999997</v>
      </c>
      <c r="H23" s="13">
        <f t="shared" si="26"/>
        <v>2135.8487674999997</v>
      </c>
      <c r="I23" s="13">
        <f t="shared" si="26"/>
        <v>2135.8487674999997</v>
      </c>
      <c r="J23" s="13">
        <f t="shared" si="26"/>
        <v>2135.8487674999997</v>
      </c>
      <c r="K23" s="13">
        <f t="shared" si="26"/>
        <v>2135.8487674999997</v>
      </c>
      <c r="L23" s="13">
        <f t="shared" si="26"/>
        <v>2135.8487674999997</v>
      </c>
      <c r="M23" s="13">
        <f t="shared" si="26"/>
        <v>2135.8487674999997</v>
      </c>
      <c r="N23" s="13">
        <f t="shared" si="26"/>
        <v>2135.8487674999997</v>
      </c>
      <c r="O23" s="13">
        <f t="shared" si="26"/>
        <v>2135.8487674999997</v>
      </c>
      <c r="P23" s="13">
        <f>+O23+(O23*'Variables '!$C$5)</f>
        <v>2135.8487674999997</v>
      </c>
      <c r="Q23" s="13">
        <f t="shared" ref="Q23:AA23" si="27">+P23</f>
        <v>2135.8487674999997</v>
      </c>
      <c r="R23" s="13">
        <f t="shared" si="27"/>
        <v>2135.8487674999997</v>
      </c>
      <c r="S23" s="13">
        <f t="shared" si="27"/>
        <v>2135.8487674999997</v>
      </c>
      <c r="T23" s="13">
        <f t="shared" si="27"/>
        <v>2135.8487674999997</v>
      </c>
      <c r="U23" s="13">
        <f t="shared" si="27"/>
        <v>2135.8487674999997</v>
      </c>
      <c r="V23" s="13">
        <f t="shared" si="27"/>
        <v>2135.8487674999997</v>
      </c>
      <c r="W23" s="13">
        <f t="shared" si="27"/>
        <v>2135.8487674999997</v>
      </c>
      <c r="X23" s="13">
        <f t="shared" si="27"/>
        <v>2135.8487674999997</v>
      </c>
      <c r="Y23" s="13">
        <f t="shared" si="27"/>
        <v>2135.8487674999997</v>
      </c>
      <c r="Z23" s="13">
        <f t="shared" si="27"/>
        <v>2135.8487674999997</v>
      </c>
      <c r="AA23" s="13">
        <f t="shared" si="27"/>
        <v>2135.8487674999997</v>
      </c>
      <c r="AB23" s="13">
        <f t="shared" si="7"/>
        <v>51260.370419999992</v>
      </c>
    </row>
    <row r="24" spans="1:28" ht="15.6" x14ac:dyDescent="0.3">
      <c r="A24" s="10" t="s">
        <v>47</v>
      </c>
      <c r="B24" s="9">
        <v>8570</v>
      </c>
      <c r="C24" s="8">
        <f t="shared" si="4"/>
        <v>714.16666666666663</v>
      </c>
      <c r="D24" s="13">
        <f>+C24+(C24*'Variables '!$B$5)</f>
        <v>714.16666666666663</v>
      </c>
      <c r="E24" s="13">
        <f t="shared" ref="E24:O24" si="28">+D24</f>
        <v>714.16666666666663</v>
      </c>
      <c r="F24" s="13">
        <f t="shared" si="28"/>
        <v>714.16666666666663</v>
      </c>
      <c r="G24" s="13">
        <f t="shared" si="28"/>
        <v>714.16666666666663</v>
      </c>
      <c r="H24" s="13">
        <f t="shared" si="28"/>
        <v>714.16666666666663</v>
      </c>
      <c r="I24" s="13">
        <f t="shared" si="28"/>
        <v>714.16666666666663</v>
      </c>
      <c r="J24" s="13">
        <f t="shared" si="28"/>
        <v>714.16666666666663</v>
      </c>
      <c r="K24" s="13">
        <f t="shared" si="28"/>
        <v>714.16666666666663</v>
      </c>
      <c r="L24" s="13">
        <f t="shared" si="28"/>
        <v>714.16666666666663</v>
      </c>
      <c r="M24" s="13">
        <f t="shared" si="28"/>
        <v>714.16666666666663</v>
      </c>
      <c r="N24" s="13">
        <f t="shared" si="28"/>
        <v>714.16666666666663</v>
      </c>
      <c r="O24" s="13">
        <f t="shared" si="28"/>
        <v>714.16666666666663</v>
      </c>
      <c r="P24" s="13">
        <f>+O24+(O24*'Variables '!$C$5)</f>
        <v>714.16666666666663</v>
      </c>
      <c r="Q24" s="13">
        <f t="shared" ref="Q24:AA24" si="29">+P24</f>
        <v>714.16666666666663</v>
      </c>
      <c r="R24" s="13">
        <f t="shared" si="29"/>
        <v>714.16666666666663</v>
      </c>
      <c r="S24" s="13">
        <f t="shared" si="29"/>
        <v>714.16666666666663</v>
      </c>
      <c r="T24" s="13">
        <f t="shared" si="29"/>
        <v>714.16666666666663</v>
      </c>
      <c r="U24" s="13">
        <f t="shared" si="29"/>
        <v>714.16666666666663</v>
      </c>
      <c r="V24" s="13">
        <f t="shared" si="29"/>
        <v>714.16666666666663</v>
      </c>
      <c r="W24" s="13">
        <f t="shared" si="29"/>
        <v>714.16666666666663</v>
      </c>
      <c r="X24" s="13">
        <f t="shared" si="29"/>
        <v>714.16666666666663</v>
      </c>
      <c r="Y24" s="13">
        <f t="shared" si="29"/>
        <v>714.16666666666663</v>
      </c>
      <c r="Z24" s="13">
        <f t="shared" si="29"/>
        <v>714.16666666666663</v>
      </c>
      <c r="AA24" s="13">
        <f t="shared" si="29"/>
        <v>714.16666666666663</v>
      </c>
      <c r="AB24" s="13">
        <f t="shared" si="7"/>
        <v>17139.999999999996</v>
      </c>
    </row>
    <row r="25" spans="1:28" ht="15.6" x14ac:dyDescent="0.3">
      <c r="A25" s="51" t="s">
        <v>48</v>
      </c>
      <c r="B25" s="9">
        <v>3750</v>
      </c>
      <c r="C25" s="8">
        <f t="shared" si="4"/>
        <v>312.5</v>
      </c>
      <c r="D25" s="9">
        <f>+C25+(C25*'Variables '!$B$52)</f>
        <v>312.5</v>
      </c>
      <c r="E25" s="9">
        <f>+D25</f>
        <v>312.5</v>
      </c>
      <c r="F25" s="9">
        <f t="shared" ref="F25:O25" si="30">+E25</f>
        <v>312.5</v>
      </c>
      <c r="G25" s="9">
        <f t="shared" si="30"/>
        <v>312.5</v>
      </c>
      <c r="H25" s="9">
        <f t="shared" si="30"/>
        <v>312.5</v>
      </c>
      <c r="I25" s="9">
        <f t="shared" si="30"/>
        <v>312.5</v>
      </c>
      <c r="J25" s="9">
        <f t="shared" si="30"/>
        <v>312.5</v>
      </c>
      <c r="K25" s="9">
        <f t="shared" si="30"/>
        <v>312.5</v>
      </c>
      <c r="L25" s="9">
        <f t="shared" si="30"/>
        <v>312.5</v>
      </c>
      <c r="M25" s="9">
        <f t="shared" si="30"/>
        <v>312.5</v>
      </c>
      <c r="N25" s="9">
        <f t="shared" si="30"/>
        <v>312.5</v>
      </c>
      <c r="O25" s="9">
        <f t="shared" si="30"/>
        <v>312.5</v>
      </c>
      <c r="P25" s="9">
        <f>O25+(O25*'Variables '!$C$52)</f>
        <v>312.5</v>
      </c>
      <c r="Q25" s="9">
        <f>+P25</f>
        <v>312.5</v>
      </c>
      <c r="R25" s="9">
        <f t="shared" ref="R25:AA25" si="31">+Q25</f>
        <v>312.5</v>
      </c>
      <c r="S25" s="9">
        <f t="shared" si="31"/>
        <v>312.5</v>
      </c>
      <c r="T25" s="9">
        <f t="shared" si="31"/>
        <v>312.5</v>
      </c>
      <c r="U25" s="9">
        <f t="shared" si="31"/>
        <v>312.5</v>
      </c>
      <c r="V25" s="9">
        <f t="shared" si="31"/>
        <v>312.5</v>
      </c>
      <c r="W25" s="9">
        <f t="shared" si="31"/>
        <v>312.5</v>
      </c>
      <c r="X25" s="9">
        <f t="shared" si="31"/>
        <v>312.5</v>
      </c>
      <c r="Y25" s="9">
        <f t="shared" si="31"/>
        <v>312.5</v>
      </c>
      <c r="Z25" s="9">
        <f t="shared" si="31"/>
        <v>312.5</v>
      </c>
      <c r="AA25" s="9">
        <f t="shared" si="31"/>
        <v>312.5</v>
      </c>
      <c r="AB25" s="13">
        <f t="shared" si="7"/>
        <v>7500</v>
      </c>
    </row>
    <row r="26" spans="1:28" ht="15.6" x14ac:dyDescent="0.3">
      <c r="A26" s="10" t="s">
        <v>49</v>
      </c>
      <c r="B26" s="9">
        <v>64.818179999999998</v>
      </c>
      <c r="C26" s="8">
        <f t="shared" si="4"/>
        <v>5.4015149999999998</v>
      </c>
      <c r="D26" s="13">
        <f>+C26+(C26*'Variables '!$B$5)</f>
        <v>5.4015149999999998</v>
      </c>
      <c r="E26" s="13">
        <f t="shared" ref="E26:O26" si="32">+D26</f>
        <v>5.4015149999999998</v>
      </c>
      <c r="F26" s="13">
        <f t="shared" si="32"/>
        <v>5.4015149999999998</v>
      </c>
      <c r="G26" s="13">
        <f t="shared" si="32"/>
        <v>5.4015149999999998</v>
      </c>
      <c r="H26" s="13">
        <f t="shared" si="32"/>
        <v>5.4015149999999998</v>
      </c>
      <c r="I26" s="13">
        <f t="shared" si="32"/>
        <v>5.4015149999999998</v>
      </c>
      <c r="J26" s="13">
        <f t="shared" si="32"/>
        <v>5.4015149999999998</v>
      </c>
      <c r="K26" s="13">
        <f t="shared" si="32"/>
        <v>5.4015149999999998</v>
      </c>
      <c r="L26" s="13">
        <f t="shared" si="32"/>
        <v>5.4015149999999998</v>
      </c>
      <c r="M26" s="13">
        <f t="shared" si="32"/>
        <v>5.4015149999999998</v>
      </c>
      <c r="N26" s="13">
        <f t="shared" si="32"/>
        <v>5.4015149999999998</v>
      </c>
      <c r="O26" s="13">
        <f t="shared" si="32"/>
        <v>5.4015149999999998</v>
      </c>
      <c r="P26" s="13">
        <f>+O26+(O26*'Variables '!$C$5)</f>
        <v>5.4015149999999998</v>
      </c>
      <c r="Q26" s="13">
        <f t="shared" ref="Q26:AA26" si="33">+P26</f>
        <v>5.4015149999999998</v>
      </c>
      <c r="R26" s="13">
        <f t="shared" si="33"/>
        <v>5.4015149999999998</v>
      </c>
      <c r="S26" s="13">
        <f t="shared" si="33"/>
        <v>5.4015149999999998</v>
      </c>
      <c r="T26" s="13">
        <f t="shared" si="33"/>
        <v>5.4015149999999998</v>
      </c>
      <c r="U26" s="13">
        <f t="shared" si="33"/>
        <v>5.4015149999999998</v>
      </c>
      <c r="V26" s="13">
        <f t="shared" si="33"/>
        <v>5.4015149999999998</v>
      </c>
      <c r="W26" s="13">
        <f t="shared" si="33"/>
        <v>5.4015149999999998</v>
      </c>
      <c r="X26" s="13">
        <f t="shared" si="33"/>
        <v>5.4015149999999998</v>
      </c>
      <c r="Y26" s="13">
        <f t="shared" si="33"/>
        <v>5.4015149999999998</v>
      </c>
      <c r="Z26" s="13">
        <f t="shared" si="33"/>
        <v>5.4015149999999998</v>
      </c>
      <c r="AA26" s="13">
        <f t="shared" si="33"/>
        <v>5.4015149999999998</v>
      </c>
      <c r="AB26" s="13">
        <f t="shared" si="7"/>
        <v>129.63636000000005</v>
      </c>
    </row>
    <row r="27" spans="1:28" ht="15.6" x14ac:dyDescent="0.3">
      <c r="A27" s="10" t="s">
        <v>50</v>
      </c>
      <c r="B27" s="9">
        <v>12345.44</v>
      </c>
      <c r="C27" s="8">
        <f t="shared" si="4"/>
        <v>1028.7866666666666</v>
      </c>
      <c r="D27" s="13">
        <f>+C27+(C27*'Variables '!$B$5)</f>
        <v>1028.7866666666666</v>
      </c>
      <c r="E27" s="13">
        <f t="shared" ref="E27:O27" si="34">+D27</f>
        <v>1028.7866666666666</v>
      </c>
      <c r="F27" s="13">
        <f t="shared" si="34"/>
        <v>1028.7866666666666</v>
      </c>
      <c r="G27" s="13">
        <f t="shared" si="34"/>
        <v>1028.7866666666666</v>
      </c>
      <c r="H27" s="13">
        <f t="shared" si="34"/>
        <v>1028.7866666666666</v>
      </c>
      <c r="I27" s="13">
        <f t="shared" si="34"/>
        <v>1028.7866666666666</v>
      </c>
      <c r="J27" s="13">
        <f t="shared" si="34"/>
        <v>1028.7866666666666</v>
      </c>
      <c r="K27" s="13">
        <f t="shared" si="34"/>
        <v>1028.7866666666666</v>
      </c>
      <c r="L27" s="13">
        <f t="shared" si="34"/>
        <v>1028.7866666666666</v>
      </c>
      <c r="M27" s="13">
        <f t="shared" si="34"/>
        <v>1028.7866666666666</v>
      </c>
      <c r="N27" s="13">
        <f t="shared" si="34"/>
        <v>1028.7866666666666</v>
      </c>
      <c r="O27" s="13">
        <f t="shared" si="34"/>
        <v>1028.7866666666666</v>
      </c>
      <c r="P27" s="13">
        <f>+O27+(O27*'Variables '!$C$5)</f>
        <v>1028.7866666666666</v>
      </c>
      <c r="Q27" s="13">
        <f t="shared" ref="Q27:AA27" si="35">+P27</f>
        <v>1028.7866666666666</v>
      </c>
      <c r="R27" s="13">
        <f t="shared" si="35"/>
        <v>1028.7866666666666</v>
      </c>
      <c r="S27" s="13">
        <f t="shared" si="35"/>
        <v>1028.7866666666666</v>
      </c>
      <c r="T27" s="13">
        <f t="shared" si="35"/>
        <v>1028.7866666666666</v>
      </c>
      <c r="U27" s="13">
        <f t="shared" si="35"/>
        <v>1028.7866666666666</v>
      </c>
      <c r="V27" s="13">
        <f t="shared" si="35"/>
        <v>1028.7866666666666</v>
      </c>
      <c r="W27" s="13">
        <f t="shared" si="35"/>
        <v>1028.7866666666666</v>
      </c>
      <c r="X27" s="13">
        <f t="shared" si="35"/>
        <v>1028.7866666666666</v>
      </c>
      <c r="Y27" s="13">
        <f t="shared" si="35"/>
        <v>1028.7866666666666</v>
      </c>
      <c r="Z27" s="13">
        <f t="shared" si="35"/>
        <v>1028.7866666666666</v>
      </c>
      <c r="AA27" s="13">
        <f t="shared" si="35"/>
        <v>1028.7866666666666</v>
      </c>
      <c r="AB27" s="13">
        <f t="shared" si="7"/>
        <v>24690.880000000001</v>
      </c>
    </row>
    <row r="28" spans="1:28" ht="15.6" x14ac:dyDescent="0.3">
      <c r="A28" s="10" t="s">
        <v>51</v>
      </c>
      <c r="B28" s="9">
        <v>3456</v>
      </c>
      <c r="C28" s="8">
        <f t="shared" si="4"/>
        <v>288</v>
      </c>
      <c r="D28" s="13">
        <f>+C28+(C28*'Variables '!$B$5)</f>
        <v>288</v>
      </c>
      <c r="E28" s="13">
        <f t="shared" ref="E28:O28" si="36">+D28</f>
        <v>288</v>
      </c>
      <c r="F28" s="13">
        <f t="shared" si="36"/>
        <v>288</v>
      </c>
      <c r="G28" s="13">
        <f t="shared" si="36"/>
        <v>288</v>
      </c>
      <c r="H28" s="13">
        <f t="shared" si="36"/>
        <v>288</v>
      </c>
      <c r="I28" s="13">
        <f t="shared" si="36"/>
        <v>288</v>
      </c>
      <c r="J28" s="13">
        <f t="shared" si="36"/>
        <v>288</v>
      </c>
      <c r="K28" s="13">
        <f t="shared" si="36"/>
        <v>288</v>
      </c>
      <c r="L28" s="13">
        <f t="shared" si="36"/>
        <v>288</v>
      </c>
      <c r="M28" s="13">
        <f t="shared" si="36"/>
        <v>288</v>
      </c>
      <c r="N28" s="13">
        <f t="shared" si="36"/>
        <v>288</v>
      </c>
      <c r="O28" s="13">
        <f t="shared" si="36"/>
        <v>288</v>
      </c>
      <c r="P28" s="13">
        <f>+O28+(O28*'Variables '!$C$5)</f>
        <v>288</v>
      </c>
      <c r="Q28" s="13">
        <f t="shared" ref="Q28:AA28" si="37">+P28</f>
        <v>288</v>
      </c>
      <c r="R28" s="13">
        <f t="shared" si="37"/>
        <v>288</v>
      </c>
      <c r="S28" s="13">
        <f t="shared" si="37"/>
        <v>288</v>
      </c>
      <c r="T28" s="13">
        <f t="shared" si="37"/>
        <v>288</v>
      </c>
      <c r="U28" s="13">
        <f t="shared" si="37"/>
        <v>288</v>
      </c>
      <c r="V28" s="13">
        <f t="shared" si="37"/>
        <v>288</v>
      </c>
      <c r="W28" s="13">
        <f t="shared" si="37"/>
        <v>288</v>
      </c>
      <c r="X28" s="13">
        <f t="shared" si="37"/>
        <v>288</v>
      </c>
      <c r="Y28" s="13">
        <f t="shared" si="37"/>
        <v>288</v>
      </c>
      <c r="Z28" s="13">
        <f t="shared" si="37"/>
        <v>288</v>
      </c>
      <c r="AA28" s="13">
        <f t="shared" si="37"/>
        <v>288</v>
      </c>
      <c r="AB28" s="13">
        <f t="shared" si="7"/>
        <v>6912</v>
      </c>
    </row>
    <row r="29" spans="1:28" ht="15.6" x14ac:dyDescent="0.3">
      <c r="A29" s="10" t="s">
        <v>52</v>
      </c>
      <c r="B29" s="9">
        <v>1662.3030899999999</v>
      </c>
      <c r="C29" s="8">
        <f t="shared" si="4"/>
        <v>138.52525749999998</v>
      </c>
      <c r="D29" s="13">
        <f>+C29+(C29*'Variables '!$B$5)</f>
        <v>138.52525749999998</v>
      </c>
      <c r="E29" s="13">
        <f t="shared" ref="E29:O29" si="38">+D29</f>
        <v>138.52525749999998</v>
      </c>
      <c r="F29" s="13">
        <f t="shared" si="38"/>
        <v>138.52525749999998</v>
      </c>
      <c r="G29" s="13">
        <f t="shared" si="38"/>
        <v>138.52525749999998</v>
      </c>
      <c r="H29" s="13">
        <f t="shared" si="38"/>
        <v>138.52525749999998</v>
      </c>
      <c r="I29" s="13">
        <f t="shared" si="38"/>
        <v>138.52525749999998</v>
      </c>
      <c r="J29" s="13">
        <f t="shared" si="38"/>
        <v>138.52525749999998</v>
      </c>
      <c r="K29" s="13">
        <f t="shared" si="38"/>
        <v>138.52525749999998</v>
      </c>
      <c r="L29" s="13">
        <f t="shared" si="38"/>
        <v>138.52525749999998</v>
      </c>
      <c r="M29" s="13">
        <f t="shared" si="38"/>
        <v>138.52525749999998</v>
      </c>
      <c r="N29" s="13">
        <f t="shared" si="38"/>
        <v>138.52525749999998</v>
      </c>
      <c r="O29" s="13">
        <f t="shared" si="38"/>
        <v>138.52525749999998</v>
      </c>
      <c r="P29" s="13">
        <f>+O29+(O29*'Variables '!$C$5)</f>
        <v>138.52525749999998</v>
      </c>
      <c r="Q29" s="13">
        <f t="shared" ref="Q29:AA29" si="39">+P29</f>
        <v>138.52525749999998</v>
      </c>
      <c r="R29" s="13">
        <f t="shared" si="39"/>
        <v>138.52525749999998</v>
      </c>
      <c r="S29" s="13">
        <f t="shared" si="39"/>
        <v>138.52525749999998</v>
      </c>
      <c r="T29" s="13">
        <f t="shared" si="39"/>
        <v>138.52525749999998</v>
      </c>
      <c r="U29" s="13">
        <f t="shared" si="39"/>
        <v>138.52525749999998</v>
      </c>
      <c r="V29" s="13">
        <f t="shared" si="39"/>
        <v>138.52525749999998</v>
      </c>
      <c r="W29" s="13">
        <f t="shared" si="39"/>
        <v>138.52525749999998</v>
      </c>
      <c r="X29" s="13">
        <f t="shared" si="39"/>
        <v>138.52525749999998</v>
      </c>
      <c r="Y29" s="13">
        <f t="shared" si="39"/>
        <v>138.52525749999998</v>
      </c>
      <c r="Z29" s="13">
        <f t="shared" si="39"/>
        <v>138.52525749999998</v>
      </c>
      <c r="AA29" s="13">
        <f t="shared" si="39"/>
        <v>138.52525749999998</v>
      </c>
      <c r="AB29" s="13">
        <f t="shared" si="7"/>
        <v>3324.6061799999993</v>
      </c>
    </row>
    <row r="30" spans="1:28" ht="15.6" x14ac:dyDescent="0.3">
      <c r="A30" s="10" t="s">
        <v>53</v>
      </c>
      <c r="B30" s="9">
        <v>336</v>
      </c>
      <c r="C30" s="8">
        <f t="shared" si="4"/>
        <v>28</v>
      </c>
      <c r="D30" s="13">
        <f>+C30+(C30*'Variables '!$B$5)</f>
        <v>28</v>
      </c>
      <c r="E30" s="13">
        <f t="shared" ref="E30:O30" si="40">+D30</f>
        <v>28</v>
      </c>
      <c r="F30" s="13">
        <f t="shared" si="40"/>
        <v>28</v>
      </c>
      <c r="G30" s="13">
        <f t="shared" si="40"/>
        <v>28</v>
      </c>
      <c r="H30" s="13">
        <f t="shared" si="40"/>
        <v>28</v>
      </c>
      <c r="I30" s="13">
        <f t="shared" si="40"/>
        <v>28</v>
      </c>
      <c r="J30" s="13">
        <f t="shared" si="40"/>
        <v>28</v>
      </c>
      <c r="K30" s="13">
        <f t="shared" si="40"/>
        <v>28</v>
      </c>
      <c r="L30" s="13">
        <f t="shared" si="40"/>
        <v>28</v>
      </c>
      <c r="M30" s="13">
        <f t="shared" si="40"/>
        <v>28</v>
      </c>
      <c r="N30" s="13">
        <f t="shared" si="40"/>
        <v>28</v>
      </c>
      <c r="O30" s="13">
        <f t="shared" si="40"/>
        <v>28</v>
      </c>
      <c r="P30" s="13">
        <f>+O30+(O30*'Variables '!$C$5)</f>
        <v>28</v>
      </c>
      <c r="Q30" s="13">
        <f t="shared" ref="Q30:AA30" si="41">+P30</f>
        <v>28</v>
      </c>
      <c r="R30" s="13">
        <f t="shared" si="41"/>
        <v>28</v>
      </c>
      <c r="S30" s="13">
        <f t="shared" si="41"/>
        <v>28</v>
      </c>
      <c r="T30" s="13">
        <f t="shared" si="41"/>
        <v>28</v>
      </c>
      <c r="U30" s="13">
        <f t="shared" si="41"/>
        <v>28</v>
      </c>
      <c r="V30" s="13">
        <f t="shared" si="41"/>
        <v>28</v>
      </c>
      <c r="W30" s="13">
        <f t="shared" si="41"/>
        <v>28</v>
      </c>
      <c r="X30" s="13">
        <f t="shared" si="41"/>
        <v>28</v>
      </c>
      <c r="Y30" s="13">
        <f t="shared" si="41"/>
        <v>28</v>
      </c>
      <c r="Z30" s="13">
        <f t="shared" si="41"/>
        <v>28</v>
      </c>
      <c r="AA30" s="13">
        <f t="shared" si="41"/>
        <v>28</v>
      </c>
      <c r="AB30" s="13">
        <f t="shared" si="7"/>
        <v>672</v>
      </c>
    </row>
    <row r="31" spans="1:28" ht="15.6" x14ac:dyDescent="0.3">
      <c r="A31" s="51" t="s">
        <v>54</v>
      </c>
      <c r="B31" s="9">
        <v>367754.42</v>
      </c>
      <c r="C31" s="8">
        <f t="shared" si="4"/>
        <v>30646.201666666664</v>
      </c>
      <c r="D31" s="9">
        <f>C31-(C31*('Variables '!$B$50/12))</f>
        <v>30646.201666666664</v>
      </c>
      <c r="E31" s="9">
        <f>D31-(D31*('Variables '!$B$50/12))</f>
        <v>30646.201666666664</v>
      </c>
      <c r="F31" s="9">
        <f>E31-(E31*('Variables '!$B$50/12))</f>
        <v>30646.201666666664</v>
      </c>
      <c r="G31" s="9">
        <f>F31-(F31*('Variables '!$B$50/12))</f>
        <v>30646.201666666664</v>
      </c>
      <c r="H31" s="9">
        <f>G31-(G31*('Variables '!$B$50/12))</f>
        <v>30646.201666666664</v>
      </c>
      <c r="I31" s="9">
        <f>H31-(H31*('Variables '!$B$50/12))</f>
        <v>30646.201666666664</v>
      </c>
      <c r="J31" s="9">
        <f>I31-(I31*('Variables '!$B$50/12))</f>
        <v>30646.201666666664</v>
      </c>
      <c r="K31" s="9">
        <f>J31-(J31*('Variables '!$B$50/12))</f>
        <v>30646.201666666664</v>
      </c>
      <c r="L31" s="9">
        <f>K31-(K31*('Variables '!$B$50/12))</f>
        <v>30646.201666666664</v>
      </c>
      <c r="M31" s="9">
        <f>L31-(L31*('Variables '!$B$50/12))</f>
        <v>30646.201666666664</v>
      </c>
      <c r="N31" s="9">
        <f>M31-(M31*('Variables '!$B$50/12))</f>
        <v>30646.201666666664</v>
      </c>
      <c r="O31" s="9">
        <f>N31-(N31*('Variables '!$B$50/12))</f>
        <v>30646.201666666664</v>
      </c>
      <c r="P31" s="9">
        <f>O31-(O31*('Variables '!$C$50/12))</f>
        <v>30646.201666666664</v>
      </c>
      <c r="Q31" s="9">
        <f>P31-(P31*('Variables '!$C$50/12))</f>
        <v>30646.201666666664</v>
      </c>
      <c r="R31" s="9">
        <f>Q31-(Q31*('Variables '!$C$50/12))</f>
        <v>30646.201666666664</v>
      </c>
      <c r="S31" s="9">
        <f>R31-(R31*('Variables '!$C$50/12))</f>
        <v>30646.201666666664</v>
      </c>
      <c r="T31" s="9">
        <f>S31-(S31*('Variables '!$C$50/12))</f>
        <v>30646.201666666664</v>
      </c>
      <c r="U31" s="9">
        <f>T31-(T31*('Variables '!$C$50/12))</f>
        <v>30646.201666666664</v>
      </c>
      <c r="V31" s="9">
        <f>U31-(U31*('Variables '!$C$50/12))</f>
        <v>30646.201666666664</v>
      </c>
      <c r="W31" s="9">
        <f>V31-(V31*('Variables '!$C$50/12))</f>
        <v>30646.201666666664</v>
      </c>
      <c r="X31" s="9">
        <f>W31-(W31*('Variables '!$C$50/12))</f>
        <v>30646.201666666664</v>
      </c>
      <c r="Y31" s="9">
        <f>X31-(X31*('Variables '!$C$50/12))</f>
        <v>30646.201666666664</v>
      </c>
      <c r="Z31" s="9">
        <f>Y31-(Y31*('Variables '!$C$50/12))</f>
        <v>30646.201666666664</v>
      </c>
      <c r="AA31" s="9">
        <f>Z31-(Z31*('Variables '!$C$50/12))</f>
        <v>30646.201666666664</v>
      </c>
      <c r="AB31" s="13">
        <f t="shared" si="7"/>
        <v>735508.84</v>
      </c>
    </row>
    <row r="32" spans="1:28" ht="15.6" x14ac:dyDescent="0.3">
      <c r="A32" s="10" t="s">
        <v>55</v>
      </c>
      <c r="B32" s="9">
        <v>44586.468849999997</v>
      </c>
      <c r="C32" s="8">
        <f t="shared" si="4"/>
        <v>3715.539070833333</v>
      </c>
      <c r="D32" s="13">
        <f>+C32+(C32*'Variables '!$B$5)</f>
        <v>3715.539070833333</v>
      </c>
      <c r="E32" s="13">
        <f>+D32</f>
        <v>3715.539070833333</v>
      </c>
      <c r="F32" s="13">
        <f t="shared" ref="F32:O32" si="42">+E32</f>
        <v>3715.539070833333</v>
      </c>
      <c r="G32" s="13">
        <f t="shared" si="42"/>
        <v>3715.539070833333</v>
      </c>
      <c r="H32" s="13">
        <f t="shared" si="42"/>
        <v>3715.539070833333</v>
      </c>
      <c r="I32" s="13">
        <f t="shared" si="42"/>
        <v>3715.539070833333</v>
      </c>
      <c r="J32" s="13">
        <f t="shared" si="42"/>
        <v>3715.539070833333</v>
      </c>
      <c r="K32" s="13">
        <f t="shared" si="42"/>
        <v>3715.539070833333</v>
      </c>
      <c r="L32" s="13">
        <f t="shared" si="42"/>
        <v>3715.539070833333</v>
      </c>
      <c r="M32" s="13">
        <f t="shared" si="42"/>
        <v>3715.539070833333</v>
      </c>
      <c r="N32" s="13">
        <f t="shared" si="42"/>
        <v>3715.539070833333</v>
      </c>
      <c r="O32" s="13">
        <f t="shared" si="42"/>
        <v>3715.539070833333</v>
      </c>
      <c r="P32" s="13">
        <f>+O32+(O32*'Variables '!$C$5)</f>
        <v>3715.539070833333</v>
      </c>
      <c r="Q32" s="13">
        <f>+P32</f>
        <v>3715.539070833333</v>
      </c>
      <c r="R32" s="13">
        <f t="shared" ref="R32:AA32" si="43">+Q32</f>
        <v>3715.539070833333</v>
      </c>
      <c r="S32" s="13">
        <f t="shared" si="43"/>
        <v>3715.539070833333</v>
      </c>
      <c r="T32" s="13">
        <f t="shared" si="43"/>
        <v>3715.539070833333</v>
      </c>
      <c r="U32" s="13">
        <f t="shared" si="43"/>
        <v>3715.539070833333</v>
      </c>
      <c r="V32" s="13">
        <f t="shared" si="43"/>
        <v>3715.539070833333</v>
      </c>
      <c r="W32" s="13">
        <f t="shared" si="43"/>
        <v>3715.539070833333</v>
      </c>
      <c r="X32" s="13">
        <f t="shared" si="43"/>
        <v>3715.539070833333</v>
      </c>
      <c r="Y32" s="13">
        <f t="shared" si="43"/>
        <v>3715.539070833333</v>
      </c>
      <c r="Z32" s="13">
        <f t="shared" si="43"/>
        <v>3715.539070833333</v>
      </c>
      <c r="AA32" s="13">
        <f t="shared" si="43"/>
        <v>3715.539070833333</v>
      </c>
      <c r="AB32" s="13">
        <f t="shared" si="7"/>
        <v>89172.937699999995</v>
      </c>
    </row>
    <row r="33" spans="1:28" ht="15.6" x14ac:dyDescent="0.3">
      <c r="A33" s="10" t="s">
        <v>56</v>
      </c>
      <c r="B33" s="9">
        <v>9928.7222299999994</v>
      </c>
      <c r="C33" s="8">
        <f t="shared" si="4"/>
        <v>827.39351916666658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13">
        <f t="shared" si="7"/>
        <v>0</v>
      </c>
    </row>
    <row r="34" spans="1:28" ht="15.6" x14ac:dyDescent="0.3">
      <c r="A34" s="10" t="s">
        <v>93</v>
      </c>
      <c r="B34" s="38">
        <v>34562.11</v>
      </c>
      <c r="C34" s="39"/>
      <c r="D34" s="9">
        <f>(+'Proyección Asociados y Ahorro'!C8)/1000</f>
        <v>0</v>
      </c>
      <c r="E34" s="9">
        <f>(+'Proyección Asociados y Ahorro'!D8)/1000</f>
        <v>0</v>
      </c>
      <c r="F34" s="9">
        <f>(+'Proyección Asociados y Ahorro'!E8)/1000</f>
        <v>0</v>
      </c>
      <c r="G34" s="9">
        <f>(+'Proyección Asociados y Ahorro'!F8)/1000</f>
        <v>0</v>
      </c>
      <c r="H34" s="9">
        <f>(+'Proyección Asociados y Ahorro'!G8)/1000</f>
        <v>0</v>
      </c>
      <c r="I34" s="9">
        <f>(+'Proyección Asociados y Ahorro'!H8)/1000</f>
        <v>0</v>
      </c>
      <c r="J34" s="9">
        <f>(+'Proyección Asociados y Ahorro'!I8)/1000</f>
        <v>0</v>
      </c>
      <c r="K34" s="9">
        <f>(+'Proyección Asociados y Ahorro'!J8)/1000</f>
        <v>0</v>
      </c>
      <c r="L34" s="9">
        <f>(+'Proyección Asociados y Ahorro'!K8)/1000</f>
        <v>0</v>
      </c>
      <c r="M34" s="9">
        <f>(+'Proyección Asociados y Ahorro'!L8)/1000</f>
        <v>0</v>
      </c>
      <c r="N34" s="9">
        <f>(+'Proyección Asociados y Ahorro'!M8)/1000</f>
        <v>0</v>
      </c>
      <c r="O34" s="9">
        <f>(+'Proyección Asociados y Ahorro'!N8)/1000</f>
        <v>0</v>
      </c>
      <c r="P34" s="9">
        <f>(+'Proyección Asociados y Ahorro'!O8)/1000</f>
        <v>0</v>
      </c>
      <c r="Q34" s="9" t="e">
        <f>(+'Proyección Asociados y Ahorro'!P8)/1000</f>
        <v>#DIV/0!</v>
      </c>
      <c r="R34" s="9" t="e">
        <f>(+'Proyección Asociados y Ahorro'!Q8)/1000</f>
        <v>#DIV/0!</v>
      </c>
      <c r="S34" s="9" t="e">
        <f>(+'Proyección Asociados y Ahorro'!R8)/1000</f>
        <v>#DIV/0!</v>
      </c>
      <c r="T34" s="9" t="e">
        <f>(+'Proyección Asociados y Ahorro'!S8)/1000</f>
        <v>#DIV/0!</v>
      </c>
      <c r="U34" s="9" t="e">
        <f>(+'Proyección Asociados y Ahorro'!T8)/1000</f>
        <v>#DIV/0!</v>
      </c>
      <c r="V34" s="9" t="e">
        <f>(+'Proyección Asociados y Ahorro'!U8)/1000</f>
        <v>#DIV/0!</v>
      </c>
      <c r="W34" s="9" t="e">
        <f>(+'Proyección Asociados y Ahorro'!V8)/1000</f>
        <v>#DIV/0!</v>
      </c>
      <c r="X34" s="9" t="e">
        <f>(+'Proyección Asociados y Ahorro'!W8)/1000</f>
        <v>#DIV/0!</v>
      </c>
      <c r="Y34" s="9" t="e">
        <f>(+'Proyección Asociados y Ahorro'!X8)/1000</f>
        <v>#DIV/0!</v>
      </c>
      <c r="Z34" s="9" t="e">
        <f>(+'Proyección Asociados y Ahorro'!Y8)/1000</f>
        <v>#DIV/0!</v>
      </c>
      <c r="AA34" s="9" t="e">
        <f>(+'Proyección Asociados y Ahorro'!Z8)/1000</f>
        <v>#DIV/0!</v>
      </c>
      <c r="AB34" s="13" t="e">
        <f t="shared" si="7"/>
        <v>#DIV/0!</v>
      </c>
    </row>
    <row r="35" spans="1:28" ht="15.6" x14ac:dyDescent="0.3">
      <c r="A35" s="10" t="s">
        <v>57</v>
      </c>
      <c r="B35" s="9">
        <v>3414.2329199999995</v>
      </c>
      <c r="C35" s="8">
        <f t="shared" si="4"/>
        <v>284.51940999999994</v>
      </c>
      <c r="D35" s="13">
        <f>+C35+(C35*'Variables '!$B$5)</f>
        <v>284.51940999999994</v>
      </c>
      <c r="E35" s="13">
        <f t="shared" ref="E35:O35" si="44">+D35</f>
        <v>284.51940999999994</v>
      </c>
      <c r="F35" s="13">
        <f t="shared" si="44"/>
        <v>284.51940999999994</v>
      </c>
      <c r="G35" s="13">
        <f t="shared" si="44"/>
        <v>284.51940999999994</v>
      </c>
      <c r="H35" s="13">
        <f t="shared" si="44"/>
        <v>284.51940999999994</v>
      </c>
      <c r="I35" s="13">
        <f t="shared" si="44"/>
        <v>284.51940999999994</v>
      </c>
      <c r="J35" s="13">
        <f t="shared" si="44"/>
        <v>284.51940999999994</v>
      </c>
      <c r="K35" s="13">
        <f t="shared" si="44"/>
        <v>284.51940999999994</v>
      </c>
      <c r="L35" s="13">
        <f t="shared" si="44"/>
        <v>284.51940999999994</v>
      </c>
      <c r="M35" s="13">
        <f t="shared" si="44"/>
        <v>284.51940999999994</v>
      </c>
      <c r="N35" s="13">
        <f t="shared" si="44"/>
        <v>284.51940999999994</v>
      </c>
      <c r="O35" s="13">
        <f t="shared" si="44"/>
        <v>284.51940999999994</v>
      </c>
      <c r="P35" s="13">
        <f>+O35+(O35*'Variables '!$C$5)</f>
        <v>284.51940999999994</v>
      </c>
      <c r="Q35" s="13">
        <f t="shared" ref="Q35:AA35" si="45">+P35</f>
        <v>284.51940999999994</v>
      </c>
      <c r="R35" s="13">
        <f t="shared" si="45"/>
        <v>284.51940999999994</v>
      </c>
      <c r="S35" s="13">
        <f t="shared" si="45"/>
        <v>284.51940999999994</v>
      </c>
      <c r="T35" s="13">
        <f t="shared" si="45"/>
        <v>284.51940999999994</v>
      </c>
      <c r="U35" s="13">
        <f t="shared" si="45"/>
        <v>284.51940999999994</v>
      </c>
      <c r="V35" s="13">
        <f t="shared" si="45"/>
        <v>284.51940999999994</v>
      </c>
      <c r="W35" s="13">
        <f t="shared" si="45"/>
        <v>284.51940999999994</v>
      </c>
      <c r="X35" s="13">
        <f t="shared" si="45"/>
        <v>284.51940999999994</v>
      </c>
      <c r="Y35" s="13">
        <f t="shared" si="45"/>
        <v>284.51940999999994</v>
      </c>
      <c r="Z35" s="13">
        <f t="shared" si="45"/>
        <v>284.51940999999994</v>
      </c>
      <c r="AA35" s="13">
        <f t="shared" si="45"/>
        <v>284.51940999999994</v>
      </c>
      <c r="AB35" s="13">
        <f t="shared" si="7"/>
        <v>6828.465839999998</v>
      </c>
    </row>
    <row r="36" spans="1:28" ht="15.6" x14ac:dyDescent="0.3">
      <c r="A36" s="10" t="s">
        <v>58</v>
      </c>
      <c r="B36" s="9">
        <v>1362.4683099999997</v>
      </c>
      <c r="C36" s="8">
        <f t="shared" si="4"/>
        <v>113.53902583333331</v>
      </c>
      <c r="D36" s="13">
        <f>+C36+(C36*'Variables '!$B$5)</f>
        <v>113.53902583333331</v>
      </c>
      <c r="E36" s="13">
        <f t="shared" ref="E36:O36" si="46">+D36</f>
        <v>113.53902583333331</v>
      </c>
      <c r="F36" s="13">
        <f t="shared" si="46"/>
        <v>113.53902583333331</v>
      </c>
      <c r="G36" s="13">
        <f t="shared" si="46"/>
        <v>113.53902583333331</v>
      </c>
      <c r="H36" s="13">
        <f t="shared" si="46"/>
        <v>113.53902583333331</v>
      </c>
      <c r="I36" s="13">
        <f t="shared" si="46"/>
        <v>113.53902583333331</v>
      </c>
      <c r="J36" s="13">
        <f t="shared" si="46"/>
        <v>113.53902583333331</v>
      </c>
      <c r="K36" s="13">
        <f t="shared" si="46"/>
        <v>113.53902583333331</v>
      </c>
      <c r="L36" s="13">
        <f t="shared" si="46"/>
        <v>113.53902583333331</v>
      </c>
      <c r="M36" s="13">
        <f t="shared" si="46"/>
        <v>113.53902583333331</v>
      </c>
      <c r="N36" s="13">
        <f t="shared" si="46"/>
        <v>113.53902583333331</v>
      </c>
      <c r="O36" s="13">
        <f t="shared" si="46"/>
        <v>113.53902583333331</v>
      </c>
      <c r="P36" s="13">
        <f>+O36+(O36*'Variables '!$C$5)</f>
        <v>113.53902583333331</v>
      </c>
      <c r="Q36" s="13">
        <f t="shared" ref="Q36:AA36" si="47">+P36</f>
        <v>113.53902583333331</v>
      </c>
      <c r="R36" s="13">
        <f t="shared" si="47"/>
        <v>113.53902583333331</v>
      </c>
      <c r="S36" s="13">
        <f t="shared" si="47"/>
        <v>113.53902583333331</v>
      </c>
      <c r="T36" s="13">
        <f t="shared" si="47"/>
        <v>113.53902583333331</v>
      </c>
      <c r="U36" s="13">
        <f t="shared" si="47"/>
        <v>113.53902583333331</v>
      </c>
      <c r="V36" s="13">
        <f t="shared" si="47"/>
        <v>113.53902583333331</v>
      </c>
      <c r="W36" s="13">
        <f t="shared" si="47"/>
        <v>113.53902583333331</v>
      </c>
      <c r="X36" s="13">
        <f t="shared" si="47"/>
        <v>113.53902583333331</v>
      </c>
      <c r="Y36" s="13">
        <f t="shared" si="47"/>
        <v>113.53902583333331</v>
      </c>
      <c r="Z36" s="13">
        <f t="shared" si="47"/>
        <v>113.53902583333331</v>
      </c>
      <c r="AA36" s="13">
        <f t="shared" si="47"/>
        <v>113.53902583333331</v>
      </c>
      <c r="AB36" s="13">
        <f t="shared" si="7"/>
        <v>2724.9366199999981</v>
      </c>
    </row>
    <row r="37" spans="1:28" ht="15.6" x14ac:dyDescent="0.3">
      <c r="A37" s="10" t="s">
        <v>59</v>
      </c>
      <c r="B37" s="9">
        <v>66023.713839999982</v>
      </c>
      <c r="C37" s="8">
        <f t="shared" si="4"/>
        <v>5501.9761533333321</v>
      </c>
      <c r="D37" s="13">
        <f>+C37+(C37*'Variables '!$B$5)</f>
        <v>5501.9761533333321</v>
      </c>
      <c r="E37" s="13">
        <f t="shared" ref="E37:O37" si="48">+D37</f>
        <v>5501.9761533333321</v>
      </c>
      <c r="F37" s="13">
        <f t="shared" si="48"/>
        <v>5501.9761533333321</v>
      </c>
      <c r="G37" s="13">
        <f t="shared" si="48"/>
        <v>5501.9761533333321</v>
      </c>
      <c r="H37" s="13">
        <f t="shared" si="48"/>
        <v>5501.9761533333321</v>
      </c>
      <c r="I37" s="13">
        <f t="shared" si="48"/>
        <v>5501.9761533333321</v>
      </c>
      <c r="J37" s="13">
        <f t="shared" si="48"/>
        <v>5501.9761533333321</v>
      </c>
      <c r="K37" s="13">
        <f t="shared" si="48"/>
        <v>5501.9761533333321</v>
      </c>
      <c r="L37" s="13">
        <f t="shared" si="48"/>
        <v>5501.9761533333321</v>
      </c>
      <c r="M37" s="13">
        <f t="shared" si="48"/>
        <v>5501.9761533333321</v>
      </c>
      <c r="N37" s="13">
        <f t="shared" si="48"/>
        <v>5501.9761533333321</v>
      </c>
      <c r="O37" s="13">
        <f t="shared" si="48"/>
        <v>5501.9761533333321</v>
      </c>
      <c r="P37" s="13">
        <f>+O37+(O37*'Variables '!$C$5)</f>
        <v>5501.9761533333321</v>
      </c>
      <c r="Q37" s="13">
        <f t="shared" ref="Q37:AA37" si="49">+P37</f>
        <v>5501.9761533333321</v>
      </c>
      <c r="R37" s="13">
        <f t="shared" si="49"/>
        <v>5501.9761533333321</v>
      </c>
      <c r="S37" s="13">
        <f t="shared" si="49"/>
        <v>5501.9761533333321</v>
      </c>
      <c r="T37" s="13">
        <f t="shared" si="49"/>
        <v>5501.9761533333321</v>
      </c>
      <c r="U37" s="13">
        <f t="shared" si="49"/>
        <v>5501.9761533333321</v>
      </c>
      <c r="V37" s="13">
        <f t="shared" si="49"/>
        <v>5501.9761533333321</v>
      </c>
      <c r="W37" s="13">
        <f t="shared" si="49"/>
        <v>5501.9761533333321</v>
      </c>
      <c r="X37" s="13">
        <f t="shared" si="49"/>
        <v>5501.9761533333321</v>
      </c>
      <c r="Y37" s="13">
        <f t="shared" si="49"/>
        <v>5501.9761533333321</v>
      </c>
      <c r="Z37" s="13">
        <f t="shared" si="49"/>
        <v>5501.9761533333321</v>
      </c>
      <c r="AA37" s="13">
        <f t="shared" si="49"/>
        <v>5501.9761533333321</v>
      </c>
      <c r="AB37" s="13">
        <f t="shared" si="7"/>
        <v>132047.42767999999</v>
      </c>
    </row>
    <row r="38" spans="1:28" ht="15.6" x14ac:dyDescent="0.3">
      <c r="A38" s="51" t="s">
        <v>60</v>
      </c>
      <c r="B38" s="9">
        <v>90244.813959999999</v>
      </c>
      <c r="C38" s="8">
        <f t="shared" si="4"/>
        <v>7520.401163333333</v>
      </c>
      <c r="D38" s="9">
        <f>(C38*('Variables '!$B$51))</f>
        <v>0</v>
      </c>
      <c r="E38" s="9">
        <f>+D38</f>
        <v>0</v>
      </c>
      <c r="F38" s="9">
        <f t="shared" ref="F38:O38" si="50">+E38</f>
        <v>0</v>
      </c>
      <c r="G38" s="9">
        <f t="shared" si="50"/>
        <v>0</v>
      </c>
      <c r="H38" s="9">
        <f t="shared" si="50"/>
        <v>0</v>
      </c>
      <c r="I38" s="9">
        <f t="shared" si="50"/>
        <v>0</v>
      </c>
      <c r="J38" s="9">
        <f t="shared" si="50"/>
        <v>0</v>
      </c>
      <c r="K38" s="9">
        <f t="shared" si="50"/>
        <v>0</v>
      </c>
      <c r="L38" s="9">
        <f t="shared" si="50"/>
        <v>0</v>
      </c>
      <c r="M38" s="9">
        <f t="shared" si="50"/>
        <v>0</v>
      </c>
      <c r="N38" s="9">
        <f t="shared" si="50"/>
        <v>0</v>
      </c>
      <c r="O38" s="9">
        <f t="shared" si="50"/>
        <v>0</v>
      </c>
      <c r="P38" s="9">
        <f>(O38*'Variables '!$C$51)</f>
        <v>0</v>
      </c>
      <c r="Q38" s="9">
        <f>+P38</f>
        <v>0</v>
      </c>
      <c r="R38" s="9">
        <f t="shared" ref="R38:AA38" si="51">+Q38</f>
        <v>0</v>
      </c>
      <c r="S38" s="9">
        <f t="shared" si="51"/>
        <v>0</v>
      </c>
      <c r="T38" s="9">
        <f t="shared" si="51"/>
        <v>0</v>
      </c>
      <c r="U38" s="9">
        <f t="shared" si="51"/>
        <v>0</v>
      </c>
      <c r="V38" s="9">
        <f t="shared" si="51"/>
        <v>0</v>
      </c>
      <c r="W38" s="9">
        <f t="shared" si="51"/>
        <v>0</v>
      </c>
      <c r="X38" s="9">
        <f t="shared" si="51"/>
        <v>0</v>
      </c>
      <c r="Y38" s="9">
        <f t="shared" si="51"/>
        <v>0</v>
      </c>
      <c r="Z38" s="9">
        <f t="shared" si="51"/>
        <v>0</v>
      </c>
      <c r="AA38" s="9">
        <f t="shared" si="51"/>
        <v>0</v>
      </c>
      <c r="AB38" s="13">
        <f t="shared" si="7"/>
        <v>0</v>
      </c>
    </row>
    <row r="39" spans="1:28" ht="15.6" x14ac:dyDescent="0.3">
      <c r="A39" s="51" t="s">
        <v>61</v>
      </c>
      <c r="B39" s="9">
        <v>80456.67</v>
      </c>
      <c r="C39" s="8">
        <f t="shared" si="4"/>
        <v>6704.7224999999999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13">
        <f t="shared" si="7"/>
        <v>0</v>
      </c>
    </row>
    <row r="40" spans="1:28" ht="15.6" x14ac:dyDescent="0.3">
      <c r="A40" s="51" t="s">
        <v>62</v>
      </c>
      <c r="B40" s="9">
        <v>4644.4281099999998</v>
      </c>
      <c r="C40" s="8">
        <f t="shared" si="4"/>
        <v>387.0356758333333</v>
      </c>
      <c r="D40" s="9">
        <f>((C40*'Variables '!$B$49)/12)+C40</f>
        <v>387.0356758333333</v>
      </c>
      <c r="E40" s="9">
        <f>((D40*'Variables '!$B$49)/12)+D40</f>
        <v>387.0356758333333</v>
      </c>
      <c r="F40" s="9">
        <f>((E40*'Variables '!$B$49)/12)+E40</f>
        <v>387.0356758333333</v>
      </c>
      <c r="G40" s="9">
        <f>((F40*'Variables '!$B$49)/12)+F40</f>
        <v>387.0356758333333</v>
      </c>
      <c r="H40" s="9">
        <f>((G40*'Variables '!$B$49)/12)+G40</f>
        <v>387.0356758333333</v>
      </c>
      <c r="I40" s="9">
        <f>((H40*'Variables '!$B$49)/12)+H40</f>
        <v>387.0356758333333</v>
      </c>
      <c r="J40" s="9">
        <f>((I40*'Variables '!$B$49)/12)+I40</f>
        <v>387.0356758333333</v>
      </c>
      <c r="K40" s="9">
        <f>((J40*'Variables '!$B$49)/12)+J40</f>
        <v>387.0356758333333</v>
      </c>
      <c r="L40" s="9">
        <f>((K40*'Variables '!$B$49)/12)+K40</f>
        <v>387.0356758333333</v>
      </c>
      <c r="M40" s="9">
        <f>((L40*'Variables '!$B$49)/12)+L40</f>
        <v>387.0356758333333</v>
      </c>
      <c r="N40" s="9">
        <f>((M40*'Variables '!$B$49)/12)+M40</f>
        <v>387.0356758333333</v>
      </c>
      <c r="O40" s="9">
        <f>((N40*'Variables '!$B$49)/12)+N40</f>
        <v>387.0356758333333</v>
      </c>
      <c r="P40" s="9">
        <f>((O40*'Variables '!$C$49)/12)+O40</f>
        <v>387.0356758333333</v>
      </c>
      <c r="Q40" s="9">
        <f>((P40*'Variables '!$C$49)/12)+P40</f>
        <v>387.0356758333333</v>
      </c>
      <c r="R40" s="9">
        <f>((Q40*'Variables '!$C$49)/12)+Q40</f>
        <v>387.0356758333333</v>
      </c>
      <c r="S40" s="9">
        <f>((R40*'Variables '!$C$49)/12)+R40</f>
        <v>387.0356758333333</v>
      </c>
      <c r="T40" s="9">
        <f>((S40*'Variables '!$C$49)/12)+S40</f>
        <v>387.0356758333333</v>
      </c>
      <c r="U40" s="9">
        <f>((T40*'Variables '!$C$49)/12)+T40</f>
        <v>387.0356758333333</v>
      </c>
      <c r="V40" s="9">
        <f>((U40*'Variables '!$C$49)/12)+U40</f>
        <v>387.0356758333333</v>
      </c>
      <c r="W40" s="9">
        <f>((V40*'Variables '!$C$49)/12)+V40</f>
        <v>387.0356758333333</v>
      </c>
      <c r="X40" s="9">
        <f>((W40*'Variables '!$C$49)/12)+W40</f>
        <v>387.0356758333333</v>
      </c>
      <c r="Y40" s="9">
        <f>((X40*'Variables '!$C$49)/12)+X40</f>
        <v>387.0356758333333</v>
      </c>
      <c r="Z40" s="9">
        <f>((Y40*'Variables '!$C$49)/12)+Y40</f>
        <v>387.0356758333333</v>
      </c>
      <c r="AA40" s="9">
        <f>((Z40*'Variables '!$C$49)/12)+Z40</f>
        <v>387.0356758333333</v>
      </c>
      <c r="AB40" s="13">
        <f t="shared" si="7"/>
        <v>9288.8562200000015</v>
      </c>
    </row>
    <row r="41" spans="1:28" ht="15.6" x14ac:dyDescent="0.3">
      <c r="A41" s="10" t="s">
        <v>63</v>
      </c>
      <c r="B41" s="9">
        <v>1742.2062699999997</v>
      </c>
      <c r="C41" s="8">
        <f t="shared" si="4"/>
        <v>145.1838558333333</v>
      </c>
      <c r="D41" s="13">
        <f>+C41+(C41*'Variables '!$B$5)</f>
        <v>145.1838558333333</v>
      </c>
      <c r="E41" s="13">
        <f t="shared" ref="E41:O41" si="52">+D41</f>
        <v>145.1838558333333</v>
      </c>
      <c r="F41" s="13">
        <f t="shared" si="52"/>
        <v>145.1838558333333</v>
      </c>
      <c r="G41" s="13">
        <f t="shared" si="52"/>
        <v>145.1838558333333</v>
      </c>
      <c r="H41" s="13">
        <f t="shared" si="52"/>
        <v>145.1838558333333</v>
      </c>
      <c r="I41" s="13">
        <f t="shared" si="52"/>
        <v>145.1838558333333</v>
      </c>
      <c r="J41" s="13">
        <f t="shared" si="52"/>
        <v>145.1838558333333</v>
      </c>
      <c r="K41" s="13">
        <f t="shared" si="52"/>
        <v>145.1838558333333</v>
      </c>
      <c r="L41" s="13">
        <f t="shared" si="52"/>
        <v>145.1838558333333</v>
      </c>
      <c r="M41" s="13">
        <f t="shared" si="52"/>
        <v>145.1838558333333</v>
      </c>
      <c r="N41" s="13">
        <f t="shared" si="52"/>
        <v>145.1838558333333</v>
      </c>
      <c r="O41" s="13">
        <f t="shared" si="52"/>
        <v>145.1838558333333</v>
      </c>
      <c r="P41" s="13">
        <f>+O41+(O41*'Variables '!$C$5)</f>
        <v>145.1838558333333</v>
      </c>
      <c r="Q41" s="13">
        <f t="shared" ref="Q41:AA41" si="53">+P41</f>
        <v>145.1838558333333</v>
      </c>
      <c r="R41" s="13">
        <f t="shared" si="53"/>
        <v>145.1838558333333</v>
      </c>
      <c r="S41" s="13">
        <f t="shared" si="53"/>
        <v>145.1838558333333</v>
      </c>
      <c r="T41" s="13">
        <f t="shared" si="53"/>
        <v>145.1838558333333</v>
      </c>
      <c r="U41" s="13">
        <f t="shared" si="53"/>
        <v>145.1838558333333</v>
      </c>
      <c r="V41" s="13">
        <f t="shared" si="53"/>
        <v>145.1838558333333</v>
      </c>
      <c r="W41" s="13">
        <f t="shared" si="53"/>
        <v>145.1838558333333</v>
      </c>
      <c r="X41" s="13">
        <f t="shared" si="53"/>
        <v>145.1838558333333</v>
      </c>
      <c r="Y41" s="13">
        <f t="shared" si="53"/>
        <v>145.1838558333333</v>
      </c>
      <c r="Z41" s="13">
        <f t="shared" si="53"/>
        <v>145.1838558333333</v>
      </c>
      <c r="AA41" s="13">
        <f t="shared" si="53"/>
        <v>145.1838558333333</v>
      </c>
      <c r="AB41" s="13">
        <f t="shared" si="7"/>
        <v>3484.4125400000003</v>
      </c>
    </row>
    <row r="42" spans="1:28" ht="16.2" thickBot="1" x14ac:dyDescent="0.35">
      <c r="A42" s="22" t="s">
        <v>64</v>
      </c>
      <c r="B42" s="17">
        <v>174.22062699999998</v>
      </c>
      <c r="C42" s="19">
        <f t="shared" si="4"/>
        <v>14.518385583333332</v>
      </c>
      <c r="D42" s="13">
        <f>+C42+(C42*'Variables '!$B$5)</f>
        <v>14.518385583333332</v>
      </c>
      <c r="E42" s="13">
        <f t="shared" ref="E42:O42" si="54">+D42</f>
        <v>14.518385583333332</v>
      </c>
      <c r="F42" s="13">
        <f t="shared" si="54"/>
        <v>14.518385583333332</v>
      </c>
      <c r="G42" s="13">
        <f t="shared" si="54"/>
        <v>14.518385583333332</v>
      </c>
      <c r="H42" s="13">
        <f t="shared" si="54"/>
        <v>14.518385583333332</v>
      </c>
      <c r="I42" s="13">
        <f t="shared" si="54"/>
        <v>14.518385583333332</v>
      </c>
      <c r="J42" s="13">
        <f t="shared" si="54"/>
        <v>14.518385583333332</v>
      </c>
      <c r="K42" s="13">
        <f t="shared" si="54"/>
        <v>14.518385583333332</v>
      </c>
      <c r="L42" s="13">
        <f t="shared" si="54"/>
        <v>14.518385583333332</v>
      </c>
      <c r="M42" s="13">
        <f t="shared" si="54"/>
        <v>14.518385583333332</v>
      </c>
      <c r="N42" s="13">
        <f t="shared" si="54"/>
        <v>14.518385583333332</v>
      </c>
      <c r="O42" s="13">
        <f t="shared" si="54"/>
        <v>14.518385583333332</v>
      </c>
      <c r="P42" s="13">
        <f>+O42+(O42*'Variables '!$C$5)</f>
        <v>14.518385583333332</v>
      </c>
      <c r="Q42" s="13">
        <f t="shared" ref="Q42:AA42" si="55">+P42</f>
        <v>14.518385583333332</v>
      </c>
      <c r="R42" s="13">
        <f t="shared" si="55"/>
        <v>14.518385583333332</v>
      </c>
      <c r="S42" s="13">
        <f t="shared" si="55"/>
        <v>14.518385583333332</v>
      </c>
      <c r="T42" s="13">
        <f t="shared" si="55"/>
        <v>14.518385583333332</v>
      </c>
      <c r="U42" s="13">
        <f t="shared" si="55"/>
        <v>14.518385583333332</v>
      </c>
      <c r="V42" s="13">
        <f t="shared" si="55"/>
        <v>14.518385583333332</v>
      </c>
      <c r="W42" s="13">
        <f t="shared" si="55"/>
        <v>14.518385583333332</v>
      </c>
      <c r="X42" s="13">
        <f t="shared" si="55"/>
        <v>14.518385583333332</v>
      </c>
      <c r="Y42" s="13">
        <f t="shared" si="55"/>
        <v>14.518385583333332</v>
      </c>
      <c r="Z42" s="13">
        <f t="shared" si="55"/>
        <v>14.518385583333332</v>
      </c>
      <c r="AA42" s="13">
        <f t="shared" si="55"/>
        <v>14.518385583333332</v>
      </c>
      <c r="AB42" s="17">
        <f t="shared" si="7"/>
        <v>348.4412539999999</v>
      </c>
    </row>
    <row r="43" spans="1:28" ht="16.2" thickBot="1" x14ac:dyDescent="0.35">
      <c r="A43" s="20" t="s">
        <v>65</v>
      </c>
      <c r="B43" s="26">
        <f>SUM(B13:B42)</f>
        <v>1051464.6281570001</v>
      </c>
      <c r="C43" s="26">
        <f>SUM(C13:C42)</f>
        <v>84741.876513083349</v>
      </c>
      <c r="D43" s="26">
        <f>SUM(D13:D42)</f>
        <v>69689.359330583349</v>
      </c>
      <c r="E43" s="26">
        <f t="shared" ref="E43:AA43" si="56">SUM(E13:E42)</f>
        <v>69689.359330583349</v>
      </c>
      <c r="F43" s="26">
        <f t="shared" si="56"/>
        <v>69689.359330583349</v>
      </c>
      <c r="G43" s="26">
        <f t="shared" si="56"/>
        <v>69689.359330583349</v>
      </c>
      <c r="H43" s="26">
        <f t="shared" si="56"/>
        <v>69689.359330583349</v>
      </c>
      <c r="I43" s="26">
        <f t="shared" si="56"/>
        <v>69689.359330583349</v>
      </c>
      <c r="J43" s="26">
        <f t="shared" si="56"/>
        <v>69689.359330583349</v>
      </c>
      <c r="K43" s="26">
        <f t="shared" si="56"/>
        <v>69689.359330583349</v>
      </c>
      <c r="L43" s="26">
        <f t="shared" si="56"/>
        <v>69689.359330583349</v>
      </c>
      <c r="M43" s="26">
        <f t="shared" si="56"/>
        <v>69689.359330583349</v>
      </c>
      <c r="N43" s="26">
        <f t="shared" si="56"/>
        <v>69689.359330583349</v>
      </c>
      <c r="O43" s="26">
        <f t="shared" si="56"/>
        <v>69689.359330583349</v>
      </c>
      <c r="P43" s="26">
        <f t="shared" si="56"/>
        <v>69689.359330583349</v>
      </c>
      <c r="Q43" s="26" t="e">
        <f t="shared" si="56"/>
        <v>#DIV/0!</v>
      </c>
      <c r="R43" s="26" t="e">
        <f t="shared" si="56"/>
        <v>#DIV/0!</v>
      </c>
      <c r="S43" s="26" t="e">
        <f t="shared" si="56"/>
        <v>#DIV/0!</v>
      </c>
      <c r="T43" s="26" t="e">
        <f t="shared" si="56"/>
        <v>#DIV/0!</v>
      </c>
      <c r="U43" s="26" t="e">
        <f t="shared" si="56"/>
        <v>#DIV/0!</v>
      </c>
      <c r="V43" s="26" t="e">
        <f t="shared" si="56"/>
        <v>#DIV/0!</v>
      </c>
      <c r="W43" s="26" t="e">
        <f t="shared" si="56"/>
        <v>#DIV/0!</v>
      </c>
      <c r="X43" s="26" t="e">
        <f t="shared" si="56"/>
        <v>#DIV/0!</v>
      </c>
      <c r="Y43" s="26" t="e">
        <f t="shared" si="56"/>
        <v>#DIV/0!</v>
      </c>
      <c r="Z43" s="26" t="e">
        <f t="shared" si="56"/>
        <v>#DIV/0!</v>
      </c>
      <c r="AA43" s="26" t="e">
        <f t="shared" si="56"/>
        <v>#DIV/0!</v>
      </c>
      <c r="AB43" s="16" t="e">
        <f t="shared" si="7"/>
        <v>#DIV/0!</v>
      </c>
    </row>
    <row r="44" spans="1:28" ht="16.2" thickBot="1" x14ac:dyDescent="0.3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6.2" thickBot="1" x14ac:dyDescent="0.35">
      <c r="A45" s="27" t="s">
        <v>66</v>
      </c>
      <c r="B45" s="21">
        <f>+B10-B43</f>
        <v>65790.887078999775</v>
      </c>
      <c r="C45" s="21">
        <f>+C43</f>
        <v>84741.876513083349</v>
      </c>
      <c r="D45" s="21">
        <f>+D10-D43</f>
        <v>2170.1086294458073</v>
      </c>
      <c r="E45" s="21">
        <f>+E10-E43</f>
        <v>2521.1318791507074</v>
      </c>
      <c r="F45" s="21">
        <f t="shared" ref="F45:AA45" si="57">+F10-F43</f>
        <v>2880.930710098226</v>
      </c>
      <c r="G45" s="21">
        <f t="shared" si="57"/>
        <v>3249.724511819426</v>
      </c>
      <c r="H45" s="21">
        <f t="shared" si="57"/>
        <v>3627.7381585836702</v>
      </c>
      <c r="I45" s="21">
        <f t="shared" si="57"/>
        <v>4015.202146517011</v>
      </c>
      <c r="J45" s="21">
        <f t="shared" si="57"/>
        <v>4412.3527341486915</v>
      </c>
      <c r="K45" s="21">
        <f t="shared" si="57"/>
        <v>4819.4320864711481</v>
      </c>
      <c r="L45" s="21">
        <f t="shared" si="57"/>
        <v>5236.6884226016846</v>
      </c>
      <c r="M45" s="21">
        <f t="shared" si="57"/>
        <v>5664.3761671354732</v>
      </c>
      <c r="N45" s="21">
        <f t="shared" si="57"/>
        <v>6102.7561052826059</v>
      </c>
      <c r="O45" s="21">
        <f t="shared" si="57"/>
        <v>6552.0955418834201</v>
      </c>
      <c r="P45" s="21" t="e">
        <f t="shared" si="57"/>
        <v>#DIV/0!</v>
      </c>
      <c r="Q45" s="21" t="e">
        <f t="shared" si="57"/>
        <v>#DIV/0!</v>
      </c>
      <c r="R45" s="21" t="e">
        <f t="shared" si="57"/>
        <v>#DIV/0!</v>
      </c>
      <c r="S45" s="21" t="e">
        <f t="shared" si="57"/>
        <v>#DIV/0!</v>
      </c>
      <c r="T45" s="21" t="e">
        <f t="shared" si="57"/>
        <v>#DIV/0!</v>
      </c>
      <c r="U45" s="21" t="e">
        <f t="shared" si="57"/>
        <v>#DIV/0!</v>
      </c>
      <c r="V45" s="21" t="e">
        <f t="shared" si="57"/>
        <v>#DIV/0!</v>
      </c>
      <c r="W45" s="21" t="e">
        <f t="shared" si="57"/>
        <v>#DIV/0!</v>
      </c>
      <c r="X45" s="21" t="e">
        <f t="shared" si="57"/>
        <v>#DIV/0!</v>
      </c>
      <c r="Y45" s="21" t="e">
        <f t="shared" si="57"/>
        <v>#DIV/0!</v>
      </c>
      <c r="Z45" s="21" t="e">
        <f t="shared" si="57"/>
        <v>#DIV/0!</v>
      </c>
      <c r="AA45" s="21" t="e">
        <f t="shared" si="57"/>
        <v>#DIV/0!</v>
      </c>
      <c r="AB45" s="28"/>
    </row>
    <row r="46" spans="1:28" ht="16.2" thickBot="1" x14ac:dyDescent="0.35">
      <c r="A46" s="27" t="s">
        <v>67</v>
      </c>
      <c r="B46" s="28"/>
      <c r="C46" s="21">
        <f>+C45</f>
        <v>84741.876513083349</v>
      </c>
      <c r="D46" s="21">
        <f>+D45</f>
        <v>2170.1086294458073</v>
      </c>
      <c r="E46" s="21">
        <f>+D46+E45</f>
        <v>4691.2405085965147</v>
      </c>
      <c r="F46" s="21">
        <f t="shared" ref="F46:AA46" si="58">+E46+F45</f>
        <v>7572.1712186947407</v>
      </c>
      <c r="G46" s="21">
        <f t="shared" si="58"/>
        <v>10821.895730514167</v>
      </c>
      <c r="H46" s="21">
        <f t="shared" si="58"/>
        <v>14449.633889097837</v>
      </c>
      <c r="I46" s="21">
        <f t="shared" si="58"/>
        <v>18464.836035614848</v>
      </c>
      <c r="J46" s="21">
        <f t="shared" si="58"/>
        <v>22877.188769763539</v>
      </c>
      <c r="K46" s="21">
        <f t="shared" si="58"/>
        <v>27696.620856234687</v>
      </c>
      <c r="L46" s="21">
        <f t="shared" si="58"/>
        <v>32933.309278836372</v>
      </c>
      <c r="M46" s="21">
        <f t="shared" si="58"/>
        <v>38597.685445971845</v>
      </c>
      <c r="N46" s="21">
        <f t="shared" si="58"/>
        <v>44700.441551254451</v>
      </c>
      <c r="O46" s="21">
        <f t="shared" si="58"/>
        <v>51252.537093137871</v>
      </c>
      <c r="P46" s="21" t="e">
        <f t="shared" si="58"/>
        <v>#DIV/0!</v>
      </c>
      <c r="Q46" s="21" t="e">
        <f t="shared" si="58"/>
        <v>#DIV/0!</v>
      </c>
      <c r="R46" s="21" t="e">
        <f t="shared" si="58"/>
        <v>#DIV/0!</v>
      </c>
      <c r="S46" s="21" t="e">
        <f t="shared" si="58"/>
        <v>#DIV/0!</v>
      </c>
      <c r="T46" s="21" t="e">
        <f t="shared" si="58"/>
        <v>#DIV/0!</v>
      </c>
      <c r="U46" s="21" t="e">
        <f t="shared" si="58"/>
        <v>#DIV/0!</v>
      </c>
      <c r="V46" s="21" t="e">
        <f t="shared" si="58"/>
        <v>#DIV/0!</v>
      </c>
      <c r="W46" s="21" t="e">
        <f t="shared" si="58"/>
        <v>#DIV/0!</v>
      </c>
      <c r="X46" s="21" t="e">
        <f t="shared" si="58"/>
        <v>#DIV/0!</v>
      </c>
      <c r="Y46" s="21" t="e">
        <f t="shared" si="58"/>
        <v>#DIV/0!</v>
      </c>
      <c r="Z46" s="21" t="e">
        <f t="shared" si="58"/>
        <v>#DIV/0!</v>
      </c>
      <c r="AA46" s="21" t="e">
        <f t="shared" si="58"/>
        <v>#DIV/0!</v>
      </c>
      <c r="AB46" s="28"/>
    </row>
    <row r="47" spans="1:28" ht="15.6" x14ac:dyDescent="0.3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6" x14ac:dyDescent="0.3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6" x14ac:dyDescent="0.3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6" x14ac:dyDescent="0.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6" x14ac:dyDescent="0.3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6" x14ac:dyDescent="0.3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6" x14ac:dyDescent="0.3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6" x14ac:dyDescent="0.3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6" x14ac:dyDescent="0.3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6" x14ac:dyDescent="0.3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6" x14ac:dyDescent="0.3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6" x14ac:dyDescent="0.3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6" x14ac:dyDescent="0.3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6" x14ac:dyDescent="0.3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6" x14ac:dyDescent="0.3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6" x14ac:dyDescent="0.3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6" x14ac:dyDescent="0.3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6" x14ac:dyDescent="0.3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6" x14ac:dyDescent="0.3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6" x14ac:dyDescent="0.3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6" x14ac:dyDescent="0.3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6" x14ac:dyDescent="0.3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6" x14ac:dyDescent="0.3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6" x14ac:dyDescent="0.3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6" x14ac:dyDescent="0.3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6" x14ac:dyDescent="0.3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6" x14ac:dyDescent="0.3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6" x14ac:dyDescent="0.3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6" x14ac:dyDescent="0.3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6" x14ac:dyDescent="0.3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6" x14ac:dyDescent="0.3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6" x14ac:dyDescent="0.3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6" x14ac:dyDescent="0.3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6" x14ac:dyDescent="0.3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6" x14ac:dyDescent="0.3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6" x14ac:dyDescent="0.3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6" x14ac:dyDescent="0.3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6" x14ac:dyDescent="0.3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6" x14ac:dyDescent="0.3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6" x14ac:dyDescent="0.3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6" x14ac:dyDescent="0.3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6" x14ac:dyDescent="0.3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6" x14ac:dyDescent="0.3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6" x14ac:dyDescent="0.3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6" x14ac:dyDescent="0.3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6" x14ac:dyDescent="0.3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6" x14ac:dyDescent="0.3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6" x14ac:dyDescent="0.3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6" x14ac:dyDescent="0.3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6" x14ac:dyDescent="0.3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6" x14ac:dyDescent="0.3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6" x14ac:dyDescent="0.3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6" x14ac:dyDescent="0.3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6" x14ac:dyDescent="0.3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6" x14ac:dyDescent="0.3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6" x14ac:dyDescent="0.3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6" x14ac:dyDescent="0.3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6" x14ac:dyDescent="0.3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6" x14ac:dyDescent="0.3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6" x14ac:dyDescent="0.3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6" x14ac:dyDescent="0.3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6" x14ac:dyDescent="0.3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6" x14ac:dyDescent="0.3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6" x14ac:dyDescent="0.3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6" x14ac:dyDescent="0.3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6" x14ac:dyDescent="0.3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6" x14ac:dyDescent="0.3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6" x14ac:dyDescent="0.3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6" x14ac:dyDescent="0.3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6" x14ac:dyDescent="0.3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6" x14ac:dyDescent="0.3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6" x14ac:dyDescent="0.3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6" x14ac:dyDescent="0.3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6" x14ac:dyDescent="0.3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6" x14ac:dyDescent="0.3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6" x14ac:dyDescent="0.3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6" x14ac:dyDescent="0.3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6" x14ac:dyDescent="0.3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6" x14ac:dyDescent="0.3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6" x14ac:dyDescent="0.3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6" x14ac:dyDescent="0.3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6" x14ac:dyDescent="0.3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6" x14ac:dyDescent="0.3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6" x14ac:dyDescent="0.3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6" x14ac:dyDescent="0.3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6" x14ac:dyDescent="0.3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6" x14ac:dyDescent="0.3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6" x14ac:dyDescent="0.3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6" x14ac:dyDescent="0.3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6" x14ac:dyDescent="0.3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6" x14ac:dyDescent="0.3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6" x14ac:dyDescent="0.3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6" x14ac:dyDescent="0.3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6" x14ac:dyDescent="0.3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6" x14ac:dyDescent="0.3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6" x14ac:dyDescent="0.3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6" x14ac:dyDescent="0.3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6" x14ac:dyDescent="0.3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6" x14ac:dyDescent="0.3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6" x14ac:dyDescent="0.3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6" x14ac:dyDescent="0.3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6" x14ac:dyDescent="0.3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6" x14ac:dyDescent="0.3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6" x14ac:dyDescent="0.3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6" x14ac:dyDescent="0.3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6" x14ac:dyDescent="0.3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6" x14ac:dyDescent="0.3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6" x14ac:dyDescent="0.3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6" x14ac:dyDescent="0.3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6" x14ac:dyDescent="0.3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6" x14ac:dyDescent="0.3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6" x14ac:dyDescent="0.3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6" x14ac:dyDescent="0.3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6" x14ac:dyDescent="0.3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6" x14ac:dyDescent="0.3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6" x14ac:dyDescent="0.3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6" x14ac:dyDescent="0.3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6" x14ac:dyDescent="0.3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6" x14ac:dyDescent="0.3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6" x14ac:dyDescent="0.3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6" x14ac:dyDescent="0.3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6" x14ac:dyDescent="0.3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6" x14ac:dyDescent="0.3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6" x14ac:dyDescent="0.3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6" x14ac:dyDescent="0.3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6" x14ac:dyDescent="0.3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6" x14ac:dyDescent="0.3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6" x14ac:dyDescent="0.3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6" x14ac:dyDescent="0.3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6" x14ac:dyDescent="0.3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6" x14ac:dyDescent="0.3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6" x14ac:dyDescent="0.3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6" x14ac:dyDescent="0.3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6" x14ac:dyDescent="0.3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6" x14ac:dyDescent="0.3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6" x14ac:dyDescent="0.3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6" x14ac:dyDescent="0.3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6" x14ac:dyDescent="0.3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6" x14ac:dyDescent="0.3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6" x14ac:dyDescent="0.3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6" x14ac:dyDescent="0.3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6" x14ac:dyDescent="0.3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6" x14ac:dyDescent="0.3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6" x14ac:dyDescent="0.3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6" x14ac:dyDescent="0.3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6" x14ac:dyDescent="0.3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6" x14ac:dyDescent="0.3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6" x14ac:dyDescent="0.3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6" x14ac:dyDescent="0.3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6" x14ac:dyDescent="0.3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6" x14ac:dyDescent="0.3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6" x14ac:dyDescent="0.3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6" x14ac:dyDescent="0.3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6" x14ac:dyDescent="0.3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6" x14ac:dyDescent="0.3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6" x14ac:dyDescent="0.3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6" x14ac:dyDescent="0.3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6" x14ac:dyDescent="0.3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6" x14ac:dyDescent="0.3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6" x14ac:dyDescent="0.3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6" x14ac:dyDescent="0.3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6" x14ac:dyDescent="0.3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6" x14ac:dyDescent="0.3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6" x14ac:dyDescent="0.3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6" x14ac:dyDescent="0.3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6" x14ac:dyDescent="0.3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6" x14ac:dyDescent="0.3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6" x14ac:dyDescent="0.3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6" x14ac:dyDescent="0.3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6" x14ac:dyDescent="0.3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6" x14ac:dyDescent="0.3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6" x14ac:dyDescent="0.3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6" x14ac:dyDescent="0.3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6" x14ac:dyDescent="0.3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6" x14ac:dyDescent="0.3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6" x14ac:dyDescent="0.3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6" x14ac:dyDescent="0.3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6" x14ac:dyDescent="0.3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6" x14ac:dyDescent="0.3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6" x14ac:dyDescent="0.3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6" x14ac:dyDescent="0.3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6" x14ac:dyDescent="0.3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6" x14ac:dyDescent="0.3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6" x14ac:dyDescent="0.3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6" x14ac:dyDescent="0.3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6" x14ac:dyDescent="0.3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6" x14ac:dyDescent="0.3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6" x14ac:dyDescent="0.3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6" x14ac:dyDescent="0.3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6" x14ac:dyDescent="0.3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6" x14ac:dyDescent="0.3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6" x14ac:dyDescent="0.3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6" x14ac:dyDescent="0.3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6" x14ac:dyDescent="0.3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6" x14ac:dyDescent="0.3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6" x14ac:dyDescent="0.3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6" x14ac:dyDescent="0.3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6" x14ac:dyDescent="0.3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6" x14ac:dyDescent="0.3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6" x14ac:dyDescent="0.3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6" x14ac:dyDescent="0.3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6" x14ac:dyDescent="0.3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6" x14ac:dyDescent="0.3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6" x14ac:dyDescent="0.3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6" x14ac:dyDescent="0.3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6" x14ac:dyDescent="0.3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6" x14ac:dyDescent="0.3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6" x14ac:dyDescent="0.3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6" x14ac:dyDescent="0.3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6" x14ac:dyDescent="0.3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6" x14ac:dyDescent="0.3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6" x14ac:dyDescent="0.3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6" x14ac:dyDescent="0.3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6" x14ac:dyDescent="0.3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6" x14ac:dyDescent="0.3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6" x14ac:dyDescent="0.3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6" x14ac:dyDescent="0.3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6" x14ac:dyDescent="0.3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6" x14ac:dyDescent="0.3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6" x14ac:dyDescent="0.3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6" x14ac:dyDescent="0.3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6" x14ac:dyDescent="0.3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6" x14ac:dyDescent="0.3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6" x14ac:dyDescent="0.3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6" x14ac:dyDescent="0.3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6" x14ac:dyDescent="0.3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6" x14ac:dyDescent="0.3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6" x14ac:dyDescent="0.3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6" x14ac:dyDescent="0.3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6" x14ac:dyDescent="0.3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6" x14ac:dyDescent="0.3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6" x14ac:dyDescent="0.3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6" x14ac:dyDescent="0.3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6" x14ac:dyDescent="0.3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6" x14ac:dyDescent="0.3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6" x14ac:dyDescent="0.3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6" x14ac:dyDescent="0.3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6" x14ac:dyDescent="0.3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6" x14ac:dyDescent="0.3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6" x14ac:dyDescent="0.3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6" x14ac:dyDescent="0.3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6" x14ac:dyDescent="0.3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6" x14ac:dyDescent="0.3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6" x14ac:dyDescent="0.3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6" x14ac:dyDescent="0.3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6" x14ac:dyDescent="0.3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6" x14ac:dyDescent="0.3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6" x14ac:dyDescent="0.3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6" x14ac:dyDescent="0.3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6" x14ac:dyDescent="0.3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6" x14ac:dyDescent="0.3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6" x14ac:dyDescent="0.3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6" x14ac:dyDescent="0.3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6" x14ac:dyDescent="0.3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6" x14ac:dyDescent="0.3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6" x14ac:dyDescent="0.3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6" x14ac:dyDescent="0.3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6" x14ac:dyDescent="0.3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6" x14ac:dyDescent="0.3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6" x14ac:dyDescent="0.3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6" x14ac:dyDescent="0.3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6" x14ac:dyDescent="0.3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6" x14ac:dyDescent="0.3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6" x14ac:dyDescent="0.3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6" x14ac:dyDescent="0.3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6" x14ac:dyDescent="0.3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6" x14ac:dyDescent="0.3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6" x14ac:dyDescent="0.3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6" x14ac:dyDescent="0.3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6" x14ac:dyDescent="0.3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6" x14ac:dyDescent="0.3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6" x14ac:dyDescent="0.3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6" x14ac:dyDescent="0.3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6" x14ac:dyDescent="0.3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6" x14ac:dyDescent="0.3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6" x14ac:dyDescent="0.3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6" x14ac:dyDescent="0.3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6" x14ac:dyDescent="0.3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6" x14ac:dyDescent="0.3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6" x14ac:dyDescent="0.3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6" x14ac:dyDescent="0.3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6" x14ac:dyDescent="0.3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6" x14ac:dyDescent="0.3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6" x14ac:dyDescent="0.3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6" x14ac:dyDescent="0.3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6" x14ac:dyDescent="0.3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6" x14ac:dyDescent="0.3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6" x14ac:dyDescent="0.3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6" x14ac:dyDescent="0.3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6" x14ac:dyDescent="0.3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6" x14ac:dyDescent="0.3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6" x14ac:dyDescent="0.3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6" x14ac:dyDescent="0.3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6" x14ac:dyDescent="0.3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6" x14ac:dyDescent="0.3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6" x14ac:dyDescent="0.3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6" x14ac:dyDescent="0.3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6" x14ac:dyDescent="0.3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6" x14ac:dyDescent="0.3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6" x14ac:dyDescent="0.3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6" x14ac:dyDescent="0.3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6" x14ac:dyDescent="0.3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6" x14ac:dyDescent="0.3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6" x14ac:dyDescent="0.3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6" x14ac:dyDescent="0.3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6" x14ac:dyDescent="0.3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6" x14ac:dyDescent="0.3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6" x14ac:dyDescent="0.3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6" x14ac:dyDescent="0.3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6" x14ac:dyDescent="0.3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6" x14ac:dyDescent="0.3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6" x14ac:dyDescent="0.3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6" x14ac:dyDescent="0.3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6" x14ac:dyDescent="0.3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6" x14ac:dyDescent="0.3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6" x14ac:dyDescent="0.3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6" x14ac:dyDescent="0.3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6" x14ac:dyDescent="0.3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6" x14ac:dyDescent="0.3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6" x14ac:dyDescent="0.3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6" x14ac:dyDescent="0.3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6" x14ac:dyDescent="0.3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6" x14ac:dyDescent="0.3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6" x14ac:dyDescent="0.3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6" x14ac:dyDescent="0.3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6" x14ac:dyDescent="0.3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6" x14ac:dyDescent="0.3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6" x14ac:dyDescent="0.3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6" x14ac:dyDescent="0.3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6" x14ac:dyDescent="0.3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6" x14ac:dyDescent="0.3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6" x14ac:dyDescent="0.3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6" x14ac:dyDescent="0.3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6" x14ac:dyDescent="0.3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6" x14ac:dyDescent="0.3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6" x14ac:dyDescent="0.3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6" x14ac:dyDescent="0.3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6" x14ac:dyDescent="0.3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6" x14ac:dyDescent="0.3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6" x14ac:dyDescent="0.3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6" x14ac:dyDescent="0.3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6" x14ac:dyDescent="0.3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6" x14ac:dyDescent="0.3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6" x14ac:dyDescent="0.3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6" x14ac:dyDescent="0.3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6" x14ac:dyDescent="0.3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6" x14ac:dyDescent="0.3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6" x14ac:dyDescent="0.3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6" x14ac:dyDescent="0.3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6" x14ac:dyDescent="0.3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6" x14ac:dyDescent="0.3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6" x14ac:dyDescent="0.3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6" x14ac:dyDescent="0.3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6" x14ac:dyDescent="0.3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6" x14ac:dyDescent="0.3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6" x14ac:dyDescent="0.3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6" x14ac:dyDescent="0.3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6" x14ac:dyDescent="0.3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6" x14ac:dyDescent="0.3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6" x14ac:dyDescent="0.3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6" x14ac:dyDescent="0.3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6" x14ac:dyDescent="0.3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6" x14ac:dyDescent="0.3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6" x14ac:dyDescent="0.3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6" x14ac:dyDescent="0.3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6" x14ac:dyDescent="0.3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6" x14ac:dyDescent="0.3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6" x14ac:dyDescent="0.3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6" x14ac:dyDescent="0.3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6" x14ac:dyDescent="0.3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6" x14ac:dyDescent="0.3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6" x14ac:dyDescent="0.3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6" x14ac:dyDescent="0.3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6" x14ac:dyDescent="0.3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6" x14ac:dyDescent="0.3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6" x14ac:dyDescent="0.3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6" x14ac:dyDescent="0.3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6" x14ac:dyDescent="0.3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6" x14ac:dyDescent="0.3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6" x14ac:dyDescent="0.3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6" x14ac:dyDescent="0.3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6" x14ac:dyDescent="0.3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6" x14ac:dyDescent="0.3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6" x14ac:dyDescent="0.3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6" x14ac:dyDescent="0.3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6" x14ac:dyDescent="0.3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6" x14ac:dyDescent="0.3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6" x14ac:dyDescent="0.3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6" x14ac:dyDescent="0.3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6" x14ac:dyDescent="0.3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6" x14ac:dyDescent="0.3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6" x14ac:dyDescent="0.3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6" x14ac:dyDescent="0.3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6" x14ac:dyDescent="0.3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6" x14ac:dyDescent="0.3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6" x14ac:dyDescent="0.3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6" x14ac:dyDescent="0.3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6" x14ac:dyDescent="0.3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6" x14ac:dyDescent="0.3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6" x14ac:dyDescent="0.3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6" x14ac:dyDescent="0.3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6" x14ac:dyDescent="0.3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6" x14ac:dyDescent="0.3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6" x14ac:dyDescent="0.3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6" x14ac:dyDescent="0.3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6" x14ac:dyDescent="0.3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6" x14ac:dyDescent="0.3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6" x14ac:dyDescent="0.3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6" x14ac:dyDescent="0.3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6" x14ac:dyDescent="0.3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6" x14ac:dyDescent="0.3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6" x14ac:dyDescent="0.3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6" x14ac:dyDescent="0.3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6" x14ac:dyDescent="0.3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6" x14ac:dyDescent="0.3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6" x14ac:dyDescent="0.3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6" x14ac:dyDescent="0.3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6" x14ac:dyDescent="0.3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6" x14ac:dyDescent="0.3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6" x14ac:dyDescent="0.3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6" x14ac:dyDescent="0.3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6" x14ac:dyDescent="0.3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6" x14ac:dyDescent="0.3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6" x14ac:dyDescent="0.3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6" x14ac:dyDescent="0.3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6" x14ac:dyDescent="0.3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6" x14ac:dyDescent="0.3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6" x14ac:dyDescent="0.3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6" x14ac:dyDescent="0.3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6" x14ac:dyDescent="0.3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6" x14ac:dyDescent="0.3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6" x14ac:dyDescent="0.3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6" x14ac:dyDescent="0.3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6" x14ac:dyDescent="0.3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6" x14ac:dyDescent="0.3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6" x14ac:dyDescent="0.3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6" x14ac:dyDescent="0.3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6" x14ac:dyDescent="0.3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6" x14ac:dyDescent="0.3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6" x14ac:dyDescent="0.3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6" x14ac:dyDescent="0.3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6" x14ac:dyDescent="0.3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6" x14ac:dyDescent="0.3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6" x14ac:dyDescent="0.3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x14ac:dyDescent="0.3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x14ac:dyDescent="0.3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x14ac:dyDescent="0.3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x14ac:dyDescent="0.3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x14ac:dyDescent="0.3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x14ac:dyDescent="0.3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2:28" x14ac:dyDescent="0.3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2:28" x14ac:dyDescent="0.3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2:28" x14ac:dyDescent="0.3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2:28" x14ac:dyDescent="0.3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2:28" x14ac:dyDescent="0.3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2:28" x14ac:dyDescent="0.3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2:28" x14ac:dyDescent="0.3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2:28" x14ac:dyDescent="0.3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2:28" x14ac:dyDescent="0.3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2:28" x14ac:dyDescent="0.3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2:28" x14ac:dyDescent="0.3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2:28" x14ac:dyDescent="0.3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2:28" x14ac:dyDescent="0.3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2:28" x14ac:dyDescent="0.3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2:28" x14ac:dyDescent="0.3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2:28" x14ac:dyDescent="0.3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2:28" x14ac:dyDescent="0.3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2:28" x14ac:dyDescent="0.3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2:28" x14ac:dyDescent="0.3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2:28" x14ac:dyDescent="0.3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2:28" x14ac:dyDescent="0.3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2:28" x14ac:dyDescent="0.3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2:28" x14ac:dyDescent="0.3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2:28" x14ac:dyDescent="0.3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2:28" x14ac:dyDescent="0.3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2:28" x14ac:dyDescent="0.3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2:28" x14ac:dyDescent="0.3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2:28" x14ac:dyDescent="0.3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2:28" x14ac:dyDescent="0.3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2:28" x14ac:dyDescent="0.3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2:28" x14ac:dyDescent="0.3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2:28" x14ac:dyDescent="0.3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2:28" x14ac:dyDescent="0.3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2:28" x14ac:dyDescent="0.3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2:28" x14ac:dyDescent="0.3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2:28" x14ac:dyDescent="0.3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2:28" x14ac:dyDescent="0.3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2:28" x14ac:dyDescent="0.3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2:28" x14ac:dyDescent="0.3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2:28" x14ac:dyDescent="0.3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2:28" x14ac:dyDescent="0.3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2:28" x14ac:dyDescent="0.3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2:28" x14ac:dyDescent="0.3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2:28" x14ac:dyDescent="0.3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2:28" x14ac:dyDescent="0.3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2:28" x14ac:dyDescent="0.3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2:28" x14ac:dyDescent="0.3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Variables </vt:lpstr>
      <vt:lpstr>Proyección Asociados y Ahorro</vt:lpstr>
      <vt:lpstr>Proyección Aplicación Fondeo</vt:lpstr>
      <vt:lpstr>Cuadro de 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Chichilnitzky</dc:creator>
  <cp:lastModifiedBy>Alberto Chichilnitzky</cp:lastModifiedBy>
  <dcterms:created xsi:type="dcterms:W3CDTF">2018-10-02T19:53:00Z</dcterms:created>
  <dcterms:modified xsi:type="dcterms:W3CDTF">2025-05-12T21:38:16Z</dcterms:modified>
</cp:coreProperties>
</file>